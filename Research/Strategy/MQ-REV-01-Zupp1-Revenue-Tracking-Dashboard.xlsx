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Daily Input" sheetId="2" state="visible" r:id="rId4"/>
    <sheet name="Weekly Summary" sheetId="3" state="visible" r:id="rId5"/>
    <sheet name="Six-Month Reinvestment" sheetId="4" state="visible" r:id="rId6"/>
    <sheet name="Definitions &amp; Rules" sheetId="5" state="visible" r:id="rId7"/>
  </sheets>
  <definedNames>
    <definedName function="false" hidden="false" localSheetId="1" name="_xlnm.Print_Area" vbProcedure="false">'Daily Input'!$A$5:$AM$37</definedName>
    <definedName function="false" hidden="false" localSheetId="1" name="_xlnm.Print_Titles" vbProcedure="false">'Daily Input'!$B:$C,'Daily Input'!$5:$5</definedName>
    <definedName function="false" hidden="true" localSheetId="1" name="_xlnm._FilterDatabase" vbProcedure="false">'Daily Input'!$B$5:$AM$35</definedName>
    <definedName function="false" hidden="false" localSheetId="4" name="_xlnm.Print_Area" vbProcedure="false">'Definitions &amp; Rules'!$A$1:$C$74</definedName>
    <definedName function="false" hidden="false" localSheetId="0" name="_xlnm.Print_Area" vbProcedure="false">'Executive Dashboard'!$A$1:$K$46</definedName>
    <definedName function="false" hidden="false" localSheetId="3" name="_xlnm.Print_Area" vbProcedure="false">'Six-Month Reinvestment'!$A$1:$K$37</definedName>
    <definedName function="false" hidden="false" localSheetId="2" name="_xlnm.Print_Area" vbProcedure="false">'Weekly Summary'!$A$1:$H$56</definedName>
    <definedName function="false" hidden="false" localSheetId="2" name="_xlnm.Print_Titles" vbProcedure="false">'Weekly Summary'!$5:$6</definedName>
    <definedName function="false" hidden="false" localSheetId="1" name="_xlnm.Print_Titles" vbProcedure="false">'Daily Input'!$5:$5,'Daily Input'!$B:$C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MQ-REV-01</author>
  </authors>
  <commentList>
    <comment ref="B7" authorId="0">
      <text>
        <r>
          <rPr>
            <sz val="10"/>
            <rFont val="Arial"/>
            <family val="2"/>
          </rPr>
          <t xml:space="preserve">Immediate hard stop if spend exceeds the approved daily or monthly ceiling.</t>
        </r>
      </text>
    </comment>
    <comment ref="F7" authorId="0">
      <text>
        <r>
          <rPr>
            <sz val="10"/>
            <rFont val="Arial"/>
            <family val="2"/>
          </rPr>
          <t xml:space="preserve">Marketing profit P = (Settled revenue × contribution margin) − ad spend − excluded variable costs.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MQ-REV-01</author>
  </authors>
  <commentList>
    <comment ref="C3" authorId="0">
      <text>
        <r>
          <rPr>
            <sz val="10"/>
            <rFont val="Arial"/>
            <family val="2"/>
          </rPr>
          <t xml:space="preserve">Day 1 of the 30-day paid period. All row dates and week buckets derive from this cell.</t>
        </r>
      </text>
    </comment>
    <comment ref="E3" authorId="0">
      <text>
        <r>
          <rPr>
            <sz val="10"/>
            <rFont val="Arial"/>
            <family val="2"/>
          </rPr>
          <t xml:space="preserve">Stated contribution margin is 10% (INTELLIGENCE GAP: the exact cost basis of this 10% is unverified). Break-even ROAS = 1 / margin = 10.0x before excluded variable costs.</t>
        </r>
      </text>
    </comment>
    <comment ref="H5" authorId="0">
      <text>
        <r>
          <rPr>
            <sz val="10"/>
            <rFont val="Arial"/>
            <family val="2"/>
          </rPr>
          <t xml:space="preserve">Approved daily cap is R$20; 30-day ceiling R$600. Spend above the ceiling is an immediate hard stop.</t>
        </r>
      </text>
    </comment>
    <comment ref="S5" authorId="0">
      <text>
        <r>
          <rPr>
            <sz val="10"/>
            <rFont val="Arial"/>
            <family val="2"/>
          </rPr>
          <t xml:space="preserve">Settled attributed revenue = paid and fulfilled revenue less cancellations and refunds. Platform-reported revenue alone is not settled revenue.</t>
        </r>
      </text>
    </comment>
    <comment ref="U5" authorId="0">
      <text>
        <r>
          <rPr>
            <sz val="10"/>
            <rFont val="Arial"/>
            <family val="2"/>
          </rPr>
          <t xml:space="preserve">Excluded variable costs (X): refunds, chargebacks, discounts, shipping subsidies, payment fees, taxes not already inside the contribution margin.</t>
        </r>
      </text>
    </comment>
    <comment ref="AM5" authorId="0">
      <text>
        <r>
          <rPr>
            <sz val="10"/>
            <rFont val="Arial"/>
            <family val="2"/>
          </rPr>
          <t xml:space="preserve">Reinvestment wallet = recovered advertising principal plus verified marketing profit. Never negative; never funded by unsettled revenue.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MQ-REV-01</author>
  </authors>
  <commentList>
    <comment ref="C6" authorId="0">
      <text>
        <r>
          <rPr>
            <sz val="10"/>
            <rFont val="Arial"/>
            <family val="2"/>
          </rPr>
          <t xml:space="preserve">These keys must match the Week values produced on Daily Input column C. Do not edit.</t>
        </r>
      </text>
    </comment>
    <comment ref="G3" authorId="0">
      <text>
        <r>
          <rPr>
            <sz val="10"/>
            <rFont val="Arial"/>
            <family val="2"/>
          </rPr>
          <t xml:space="preserve">Path stop: stop a product-audience-message path with no sale once spend reaches the lower of the weekly ceiling or the greater of R$40 and 2x the verified maximum allowable CAC.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MQ-REV-01</author>
  </authors>
  <commentList>
    <comment ref="C8" authorId="0">
      <text>
        <r>
          <rPr>
            <sz val="10"/>
            <rFont val="Arial"/>
            <family val="2"/>
          </rPr>
          <t xml:space="preserve">Default 0 is an explicit modelling placeholder, not an observation. Update once refund, chargeback, payment-fee, tax and shipping-subsidy data are verified — any excluded cost raises true break-even ROAS above 10.0x.</t>
        </r>
      </text>
    </comment>
  </commentList>
</comments>
</file>

<file path=xl/sharedStrings.xml><?xml version="1.0" encoding="utf-8"?>
<sst xmlns="http://schemas.openxmlformats.org/spreadsheetml/2006/main" count="321" uniqueCount="270">
  <si>
    <t xml:space="preserve">Zupp1 — 30-Day Revenue Tracking Dashboard</t>
  </si>
  <si>
    <t xml:space="preserve">Source plan: MQ-REV-01 — 30-Day Revenue and Six-Month Reinvestment Plan</t>
  </si>
  <si>
    <t xml:space="preserve">Daily budget R$20 · 30-day ceiling R$600 · Stated contribution margin 10% · Break-even ROAS 10.0x · Geography: São Paulo state</t>
  </si>
  <si>
    <t xml:space="preserve">Break-even ROAS = 1 ÷ contribution margin = 1 ÷ 10% = 10.0x, BEFORE excluded variable costs (refunds, chargebacks, shipping subsidies, payment fees, taxes). Any excluded cost raises the true break-even above 10.0x. Month 1 objective: first attributable revenue and credible repeatability — not clicks.</t>
  </si>
  <si>
    <t xml:space="preserve">MONTH SPEND vs R$600 CEILING</t>
  </si>
  <si>
    <t xml:space="preserve">SETTLED ATTRIBUTED REVENUE</t>
  </si>
  <si>
    <t xml:space="preserve">MARKETING PROFIT (MONTH)</t>
  </si>
  <si>
    <t xml:space="preserve">BLENDED ROAS vs 10.0x BREAK-EVEN</t>
  </si>
  <si>
    <t xml:space="preserve">REINVESTMENT WALLET</t>
  </si>
  <si>
    <t xml:space="preserve">WEEKLY BRIDGE — the ten reportable lines</t>
  </si>
  <si>
    <t xml:space="preserve">Metric</t>
  </si>
  <si>
    <t xml:space="preserve">Week 1 · Days 1–7</t>
  </si>
  <si>
    <t xml:space="preserve">Week 2 · Days 8–14</t>
  </si>
  <si>
    <t xml:space="preserve">Week 3 · Days 15–21</t>
  </si>
  <si>
    <t xml:space="preserve">Week 4 · Days 22–28</t>
  </si>
  <si>
    <t xml:space="preserve">Closeout · Days 29–30</t>
  </si>
  <si>
    <t xml:space="preserve">Month Total</t>
  </si>
  <si>
    <t xml:space="preserve">Spend (R$)</t>
  </si>
  <si>
    <t xml:space="preserve">Settled Attributed Revenue (R$)</t>
  </si>
  <si>
    <t xml:space="preserve">Fulfilled Attributed Orders</t>
  </si>
  <si>
    <t xml:space="preserve">AOV (R$)</t>
  </si>
  <si>
    <t xml:space="preserve">Verified Contribution Margin (%)</t>
  </si>
  <si>
    <t xml:space="preserve">Contribution (R$)</t>
  </si>
  <si>
    <t xml:space="preserve">CPA (R$)</t>
  </si>
  <si>
    <t xml:space="preserve">Maximum Allowable CAC (R$)</t>
  </si>
  <si>
    <t xml:space="preserve">Blended ROAS (x)  ·  break-even 10.0x</t>
  </si>
  <si>
    <t xml:space="preserve">Marketing Profit (R$)</t>
  </si>
  <si>
    <t xml:space="preserve">Reinvestment Wallet (R$)</t>
  </si>
  <si>
    <t xml:space="preserve">Largest Funnel Bottleneck</t>
  </si>
  <si>
    <t xml:space="preserve">Decision</t>
  </si>
  <si>
    <t xml:space="preserve">Status</t>
  </si>
  <si>
    <t xml:space="preserve">Blank cells mean no data has been recorded — they are not zeros. All values are live links to Weekly Summary, which aggregates raw Daily Input rows.</t>
  </si>
  <si>
    <t xml:space="preserve">INTELLIGENCE GAP: the exact cost basis of the 10% margin, product-level AOV and margin, shipping subsidy, refund, chargeback, payment-fee and tax assumptions, and the hero product remain unverified. Treat every derived economic figure as provisional until they are recorded.</t>
  </si>
  <si>
    <t xml:space="preserve">Daily Input — 30-Day Paid Media Ledger</t>
  </si>
  <si>
    <t xml:space="preserve">Campaign start date</t>
  </si>
  <si>
    <t xml:space="preserve">Default contribution margin</t>
  </si>
  <si>
    <t xml:space="preserve">Daily budget cap (R$)</t>
  </si>
  <si>
    <t xml:space="preserve">30-day spend ceiling (R$)</t>
  </si>
  <si>
    <t xml:space="preserve">Enter observed data only. Blue cells are editable assumptions; black cells are formulas. Leave unknown values blank — never enter 0 unless zero was actually observed. Geography: São Paulo state. Objective: first attributable revenue and credible repeatability, not clicks.</t>
  </si>
  <si>
    <t xml:space="preserve">Date</t>
  </si>
  <si>
    <t xml:space="preserve">Week</t>
  </si>
  <si>
    <t xml:space="preserve">Campaign</t>
  </si>
  <si>
    <t xml:space="preserve">Ad Set</t>
  </si>
  <si>
    <t xml:space="preserve">Creative / Treatment</t>
  </si>
  <si>
    <t xml:space="preserve">Product / Family</t>
  </si>
  <si>
    <t xml:space="preserve">Impressions</t>
  </si>
  <si>
    <t xml:space="preserve">Link Clicks</t>
  </si>
  <si>
    <t xml:space="preserve">Landing Page Views</t>
  </si>
  <si>
    <t xml:space="preserve">Product Views</t>
  </si>
  <si>
    <t xml:space="preserve">Add to Cart</t>
  </si>
  <si>
    <t xml:space="preserve">Checkout Initiations</t>
  </si>
  <si>
    <t xml:space="preserve">Attributed Orders</t>
  </si>
  <si>
    <t xml:space="preserve">Fulfilled Orders</t>
  </si>
  <si>
    <t xml:space="preserve">Gross Attributed Revenue (R$)</t>
  </si>
  <si>
    <t xml:space="preserve">Cancellations / Refunds (R$)</t>
  </si>
  <si>
    <t xml:space="preserve">Contribution Margin (%)</t>
  </si>
  <si>
    <t xml:space="preserve">Excluded Variable Costs (R$)</t>
  </si>
  <si>
    <t xml:space="preserve">Tracking Status</t>
  </si>
  <si>
    <t xml:space="preserve">Checkout Status</t>
  </si>
  <si>
    <t xml:space="preserve">Product Availability</t>
  </si>
  <si>
    <t xml:space="preserve">Notes</t>
  </si>
  <si>
    <t xml:space="preserve">CTR</t>
  </si>
  <si>
    <t xml:space="preserve">CPC (R$)</t>
  </si>
  <si>
    <t xml:space="preserve">LPV Rate</t>
  </si>
  <si>
    <t xml:space="preserve">Product View Rate</t>
  </si>
  <si>
    <t xml:space="preserve">ATC Rate</t>
  </si>
  <si>
    <t xml:space="preserve">Checkout Rate</t>
  </si>
  <si>
    <t xml:space="preserve">Purchase CVR</t>
  </si>
  <si>
    <t xml:space="preserve">Max Allowable CAC (R$)</t>
  </si>
  <si>
    <t xml:space="preserve">ROAS (x)</t>
  </si>
  <si>
    <t xml:space="preserve">MONTH TOTAL (raw aggregation of all 30 days)</t>
  </si>
  <si>
    <t xml:space="preserve">Weekly Summary — Bridge Aggregation</t>
  </si>
  <si>
    <t xml:space="preserve">Stated contribution margin</t>
  </si>
  <si>
    <t xml:space="preserve">Break-even ROAS (x)</t>
  </si>
  <si>
    <t xml:space="preserve">Path-stop floor (R$)</t>
  </si>
  <si>
    <t xml:space="preserve">Every figure is a SUMIFS/SUM aggregation of raw Daily Input rows. Rates are computed from summed numerators and denominators — never as an average of daily averages. Blank means no data, not zero.</t>
  </si>
  <si>
    <t xml:space="preserve">SUMIFS key →</t>
  </si>
  <si>
    <t xml:space="preserve">Week 1</t>
  </si>
  <si>
    <t xml:space="preserve">Week 2</t>
  </si>
  <si>
    <t xml:space="preserve">Week 3</t>
  </si>
  <si>
    <t xml:space="preserve">Week 4</t>
  </si>
  <si>
    <t xml:space="preserve">Closeout</t>
  </si>
  <si>
    <t xml:space="preserve">All 30 days</t>
  </si>
  <si>
    <t xml:space="preserve">CORE ECONOMICS</t>
  </si>
  <si>
    <t xml:space="preserve">Blended ROAS (x)</t>
  </si>
  <si>
    <t xml:space="preserve">Break-even ROAS at verified margin (x)</t>
  </si>
  <si>
    <t xml:space="preserve">FUNNEL DIAGNOSTICS (aggregated from raw rows)</t>
  </si>
  <si>
    <t xml:space="preserve">CTR (Link Clicks / Impressions)</t>
  </si>
  <si>
    <t xml:space="preserve">Cost per Landing Page View (R$)</t>
  </si>
  <si>
    <t xml:space="preserve">LPV Rate (LPV / Link Clicks)</t>
  </si>
  <si>
    <t xml:space="preserve">Product View Rate (PV / LPV)</t>
  </si>
  <si>
    <t xml:space="preserve">ATC Rate (ATC / PV)</t>
  </si>
  <si>
    <t xml:space="preserve">Checkout Rate (Checkout / ATC)</t>
  </si>
  <si>
    <t xml:space="preserve">Purchase CVR (Fulfilled / Checkout)</t>
  </si>
  <si>
    <t xml:space="preserve">Hard-stop conditions logged (count)</t>
  </si>
  <si>
    <t xml:space="preserve">Diagnostic Flag (heuristic, not proof)</t>
  </si>
  <si>
    <t xml:space="preserve">Recommended Decision (automatic)</t>
  </si>
  <si>
    <t xml:space="preserve">WEEK-OVER-WEEK VARIANCE (Closeout excluded — 2-day period is not comparable)</t>
  </si>
  <si>
    <t xml:space="preserve">Week 2 vs Week 1</t>
  </si>
  <si>
    <t xml:space="preserve">Week 3 vs Week 2</t>
  </si>
  <si>
    <t xml:space="preserve">Week 4 vs Week 3</t>
  </si>
  <si>
    <t xml:space="preserve">Δ</t>
  </si>
  <si>
    <t xml:space="preserve">%</t>
  </si>
  <si>
    <t xml:space="preserve">Variance is shown only where both periods contain data. A percentage change computed on a near-zero base is not meaningful — always read Δ and % together, and confirm order counts before interpreting CPA movement.</t>
  </si>
  <si>
    <t xml:space="preserve">Six-Month Reinvestment Loop</t>
  </si>
  <si>
    <t xml:space="preserve">P(t) = (R(t) × m) − A(t) − X(t).  If P(t) &lt; 0 the automatic reinvestment loop stops. Otherwise the next available budget A(t+1) = A(t) + P(t) — recovered advertising principal plus verified marketing profit only.</t>
  </si>
  <si>
    <t xml:space="preserve">ASSUMPTIONS — edit the blue cells only</t>
  </si>
  <si>
    <t xml:space="preserve">Opening advertising principal (R$)</t>
  </si>
  <si>
    <t xml:space="preserve">← Approved seed capital: R$20/day × 30 days</t>
  </si>
  <si>
    <t xml:space="preserve">Contribution margin (m)</t>
  </si>
  <si>
    <t xml:space="preserve">← Stated margin; INTELLIGENCE GAP: cost basis unverified</t>
  </si>
  <si>
    <t xml:space="preserve">Default excluded variable costs per month, X (R$)</t>
  </si>
  <si>
    <t xml:space="preserve">Month 1 settled attributed revenue observed in tracker (R$)</t>
  </si>
  <si>
    <t xml:space="preserve">← Live link to Weekly Summary Month Total</t>
  </si>
  <si>
    <t xml:space="preserve">Months without an entered Actual Settled Revenue are projected at the Expected ROAS assumption — illustrative arithmetic, not a forecast. Enter actual settled revenue as each month closes; it always overrides the projection.</t>
  </si>
  <si>
    <t xml:space="preserve">REINVESTMENT LOOP — MONTHS 1 TO 6</t>
  </si>
  <si>
    <t xml:space="preserve">Month</t>
  </si>
  <si>
    <t xml:space="preserve">Advertising Principal A(t) (R$)</t>
  </si>
  <si>
    <t xml:space="preserve">Expected ROAS (x)</t>
  </si>
  <si>
    <t xml:space="preserve">Actual Settled Revenue (R$)</t>
  </si>
  <si>
    <t xml:space="preserve">Revenue Used (R$)</t>
  </si>
  <si>
    <t xml:space="preserve">Excluded Variable Costs X (R$)</t>
  </si>
  <si>
    <t xml:space="preserve">Marketing Profit P(t) (R$)</t>
  </si>
  <si>
    <t xml:space="preserve">Next Available Budget A(t+1) (R$)</t>
  </si>
  <si>
    <t xml:space="preserve">Reinvestment Status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</si>
  <si>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</si>
  <si>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</si>
  <si>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</si>
  <si>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</si>
  <si>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</si>
  <si>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</si>
  <si>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Cumulative (Months 1–6)</t>
  </si>
  <si>
    <t xml:space="preserve">Available advertising budget after Month 6 (R$)</t>
  </si>
  <si>
    <t xml:space="preserve">Release only after orders settle and refunds, chargebacks, taxes, fees, fulfilment and shipping are reserved.</t>
  </si>
  <si>
    <t xml:space="preserve">ILLUSTRATIVE ROAS SCENARIOS — ARITHMETIC, NOT FORECASTS</t>
  </si>
  <si>
    <t xml:space="preserve">Assumes a constant contribution margin, no excluded variable costs, no settlement delay, and full reinvestment of recovered principal plus verified profit. These are not predictions of Zupp1 results.</t>
  </si>
  <si>
    <t xml:space="preserve">Available advertising spend</t>
  </si>
  <si>
    <t xml:space="preserve">Scenario A</t>
  </si>
  <si>
    <t xml:space="preserve">Scenario B</t>
  </si>
  <si>
    <t xml:space="preserve">Scenario C</t>
  </si>
  <si>
    <t xml:space="preserve">Scenario ROAS (x)</t>
  </si>
  <si>
    <t xml:space="preserve">Month 1 available spend (R$)</t>
  </si>
  <si>
    <t xml:space="preserve">Month 2 available spend (R$)</t>
  </si>
  <si>
    <t xml:space="preserve">Month 3 available spend (R$)</t>
  </si>
  <si>
    <t xml:space="preserve">Month 4 available spend (R$)</t>
  </si>
  <si>
    <t xml:space="preserve">Month 5 available spend (R$)</t>
  </si>
  <si>
    <t xml:space="preserve">Month 6 available spend (R$)</t>
  </si>
  <si>
    <t xml:space="preserve">Available advertising spend after Month 6 (R$)</t>
  </si>
  <si>
    <t xml:space="preserve">Reading: at 8.0x the first month loses money and the automatic loop stops; at 10.0x the loop merely preserves the original advertising principal; at 12.0x it compounds slowly. Any excluded variable cost pushes true break-even above 10.0x.</t>
  </si>
  <si>
    <t xml:space="preserve">Definitions, Evidence Labels and Operating Rules</t>
  </si>
  <si>
    <t xml:space="preserve">Source plan: MQ-REV-01 — 30-Day Revenue and Six-Month Reinvestment Plan  ·  Prepared for USS Zupp1  ·  Geography: São Paulo state</t>
  </si>
  <si>
    <t xml:space="preserve">METRIC DEFINITIONS</t>
  </si>
  <si>
    <t xml:space="preserve">Settled attributed revenue</t>
  </si>
  <si>
    <t xml:space="preserve">Paid and fulfilled revenue attributed to the campaign, less cancellations and refunds. Platform-reported revenue alone is not settled revenue.</t>
  </si>
  <si>
    <t xml:space="preserve">Settled attributed revenue × verified product contribution margin. The money that exists before advertising.</t>
  </si>
  <si>
    <t xml:space="preserve">Marketing profit P</t>
  </si>
  <si>
    <t xml:space="preserve">P = (R × m) − A − X: contribution minus ad spend minus excluded variable costs. Reinvestment is permitted only when P is positive.</t>
  </si>
  <si>
    <t xml:space="preserve">Blended ROAS</t>
  </si>
  <si>
    <t xml:space="preserve">Settled attributed revenue ÷ ad spend. Break-even is 1 ÷ contribution margin = 10.0x at a 10% margin, before excluded variable costs.</t>
  </si>
  <si>
    <t xml:space="preserve">CPA</t>
  </si>
  <si>
    <t xml:space="preserve">Ad spend ÷ attributed fulfilled customers.</t>
  </si>
  <si>
    <t xml:space="preserve">Maximum allowable CAC</t>
  </si>
  <si>
    <t xml:space="preserve">AOV × verified contribution margin. The hard economic ceiling for acquisition cost.</t>
  </si>
  <si>
    <t xml:space="preserve">AOV</t>
  </si>
  <si>
    <t xml:space="preserve">Settled attributed revenue ÷ fulfilled attributed orders, computed from period totals, never as an average of daily averages.</t>
  </si>
  <si>
    <t xml:space="preserve">Reinvestment wallet</t>
  </si>
  <si>
    <t xml:space="preserve">Recovered advertising principal plus verified marketing profit only. Never unsettled revenue, expected refunds or supplier obligations.</t>
  </si>
  <si>
    <t xml:space="preserve">Excluded variable costs X</t>
  </si>
  <si>
    <t xml:space="preserve">Refunds, chargebacks, discounts, shipping subsidies, payment fees and taxes not already inside the stated margin.</t>
  </si>
  <si>
    <t xml:space="preserve">Diagnostic metrics</t>
  </si>
  <si>
    <t xml:space="preserve">CTR, CPC, LPV rate, product-view rate, ATC rate, checkout rate and purchase CVR diagnose delivery and message resonance. They never override contribution, CPA and settled marketing profit.</t>
  </si>
  <si>
    <t xml:space="preserve">EVIDENCE LABELS</t>
  </si>
  <si>
    <t xml:space="preserve">FACT</t>
  </si>
  <si>
    <t xml:space="preserve">Directly observed in platform, analytics, order, payment or support records.</t>
  </si>
  <si>
    <t xml:space="preserve">ASSESSMENT</t>
  </si>
  <si>
    <t xml:space="preserve">Interpretation of observed evidence.</t>
  </si>
  <si>
    <t xml:space="preserve">RECOMMENDATION</t>
  </si>
  <si>
    <t xml:space="preserve">Proposed action based on facts and assessments.</t>
  </si>
  <si>
    <t xml:space="preserve">INTELLIGENCE GAP</t>
  </si>
  <si>
    <t xml:space="preserve">A value or causal explanation that cannot yet be verified. Label results below the diagnostic thresholds as INTELLIGENCE GAP — insufficient observations rather than declaring a winner or loser.</t>
  </si>
  <si>
    <t xml:space="preserve">IMMEDIATE HARD STOPS — pause spending at once</t>
  </si>
  <si>
    <t xml:space="preserve">Tracking integrity</t>
  </si>
  <si>
    <t xml:space="preserve">Purchase tracking missing, duplicated or materially inconsistent with WooCommerce.</t>
  </si>
  <si>
    <t xml:space="preserve">Checkout or payment</t>
  </si>
  <si>
    <t xml:space="preserve">Checkout or payment is failing.</t>
  </si>
  <si>
    <t xml:space="preserve">Fulfilment</t>
  </si>
  <si>
    <t xml:space="preserve">Advertised product unavailable or its fulfilment promise unreliable.</t>
  </si>
  <si>
    <t xml:space="preserve">Disclosure accuracy</t>
  </si>
  <si>
    <t xml:space="preserve">Displayed price, shipping, promotion, return policy or disclosure is inaccurate.</t>
  </si>
  <si>
    <t xml:space="preserve">Budget breach</t>
  </si>
  <si>
    <t xml:space="preserve">Spend exceeds the approved daily (R$20) or monthly (R$600) ceiling.</t>
  </si>
  <si>
    <t xml:space="preserve">Customer harm / policy</t>
  </si>
  <si>
    <t xml:space="preserve">Customer harm, misleading messaging or policy risk detected.</t>
  </si>
  <si>
    <t xml:space="preserve">ECONOMIC STOPS</t>
  </si>
  <si>
    <t xml:space="preserve">Campaign stop</t>
  </si>
  <si>
    <t xml:space="preserve">Stop paid acquisition if cumulative spend reaches R$600 without a fulfilled attributed sale.</t>
  </si>
  <si>
    <t xml:space="preserve">Path stop</t>
  </si>
  <si>
    <t xml:space="preserve">Stop a product-audience-message path without a sale when spend reaches the lower of the weekly ceiling or the greater of R$40 and 2× the verified maximum allowable CAC. Strong checkout evidence may justify one additional controlled interval, documented before spending it.</t>
  </si>
  <si>
    <t xml:space="preserve">Profit stop</t>
  </si>
  <si>
    <t xml:space="preserve">Do not reinvest when marketing profit is zero or negative.</t>
  </si>
  <si>
    <t xml:space="preserve">Margin stop</t>
  </si>
  <si>
    <t xml:space="preserve">Stop and recalculate if actual contribution margin is below 10%.</t>
  </si>
  <si>
    <t xml:space="preserve">Cash stop</t>
  </si>
  <si>
    <t xml:space="preserve">Do not use unsettled revenue, expected refunds or supplier obligations as available advertising cash.</t>
  </si>
  <si>
    <t xml:space="preserve">DIAGNOSTIC HEURISTICS — operating rules, not statistical proof</t>
  </si>
  <si>
    <t xml:space="preserve">50 LPVs, 0 add to cart</t>
  </si>
  <si>
    <t xml:space="preserve">Pause and revise the product, offer, message or landing match.</t>
  </si>
  <si>
    <t xml:space="preserve">10 add to carts, 0 checkout</t>
  </si>
  <si>
    <t xml:space="preserve">Inspect cart, shipping and checkout friction before buying more traffic.</t>
  </si>
  <si>
    <t xml:space="preserve">5 checkouts, 0 purchase</t>
  </si>
  <si>
    <t xml:space="preserve">Inspect payment, final price, delivery and trust before buying more traffic.</t>
  </si>
  <si>
    <t xml:space="preserve">Below those levels</t>
  </si>
  <si>
    <t xml:space="preserve">Report INTELLIGENCE GAP — insufficient observations.</t>
  </si>
  <si>
    <t xml:space="preserve">SCALING RULES</t>
  </si>
  <si>
    <t xml:space="preserve">No scaling on one sale</t>
  </si>
  <si>
    <t xml:space="preserve">Do not scale from a single isolated sale.</t>
  </si>
  <si>
    <t xml:space="preserve">Scaling precondition</t>
  </si>
  <si>
    <t xml:space="preserve">Require positive settled marketing profit and at least two attributed fulfilled orders from the same path.</t>
  </si>
  <si>
    <t xml:space="preserve">Funding source</t>
  </si>
  <si>
    <t xml:space="preserve">Increase available advertising cash only through verified profit under the reinvestment formula.</t>
  </si>
  <si>
    <t xml:space="preserve">Change discipline</t>
  </si>
  <si>
    <t xml:space="preserve">Avoid abrupt campaign edits; keep a written before-and-after record. Major targeting, creative, optimisation-event, bid-strategy or budget changes can return an ad set to the learning phase.</t>
  </si>
  <si>
    <t xml:space="preserve">Reversal</t>
  </si>
  <si>
    <t xml:space="preserve">Return to the prior budget or stop if trailing settled economics fall below break-even.</t>
  </si>
  <si>
    <t xml:space="preserve">DECISION VALUES USED BY THIS WORKBOOK</t>
  </si>
  <si>
    <t xml:space="preserve">CONTINUE</t>
  </si>
  <si>
    <t xml:space="preserve">Positive marketing profit and at least two fulfilled attributed orders in the period, with no hard-stop condition.</t>
  </si>
  <si>
    <t xml:space="preserve">CHANGE ONE VARIABLE</t>
  </si>
  <si>
    <t xml:space="preserve">Some downstream evidence exists but economics are not yet proven, or spend has reached the path-stop threshold with no order. Change only the variable tied to the largest bottleneck.</t>
  </si>
  <si>
    <t xml:space="preserve">HOLD / INSUFFICIENT DATA</t>
  </si>
  <si>
    <t xml:space="preserve">Not enough spend or observations to support any judgement.</t>
  </si>
  <si>
    <t xml:space="preserve">STOP</t>
  </si>
  <si>
    <t xml:space="preserve">A hard-stop condition is logged, or the R$600 ceiling was reached with no fulfilled attributed sale.</t>
  </si>
  <si>
    <t xml:space="preserve">DATA-ENTRY CHECKLIST — every day</t>
  </si>
  <si>
    <t xml:space="preserve">1. Spend and delivery</t>
  </si>
  <si>
    <t xml:space="preserve">Record spend, impressions, link clicks and landing-page views from Meta Ads Manager.</t>
  </si>
  <si>
    <t xml:space="preserve">2. Funnel events</t>
  </si>
  <si>
    <t xml:space="preserve">Record product views, add to cart and checkout initiations from analytics / Pixel.</t>
  </si>
  <si>
    <t xml:space="preserve">3. Orders</t>
  </si>
  <si>
    <t xml:space="preserve">Record attributed and fulfilled orders, gross revenue, cancellations/refunds and settled revenue from WooCommerce.</t>
  </si>
  <si>
    <t xml:space="preserve">4. Reconcile</t>
  </si>
  <si>
    <t xml:space="preserve">Confirm Meta purchase values reconcile to WooCommerce orders. Log Tracking Status, Checkout Status and Product Availability.</t>
  </si>
  <si>
    <t xml:space="preserve">5. Costs</t>
  </si>
  <si>
    <t xml:space="preserve">Record excluded variable costs (fees, taxes, shipping subsidies, refunds) as they become known.</t>
  </si>
  <si>
    <t xml:space="preserve">6. Notes</t>
  </si>
  <si>
    <t xml:space="preserve">Record customer questions, support contacts, delivery concerns and objections verbatim.</t>
  </si>
  <si>
    <t xml:space="preserve">7. Weekly only</t>
  </si>
  <si>
    <t xml:space="preserve">Review decisions weekly after meaningful accumulated spend — not hourly, and not after individual results.</t>
  </si>
  <si>
    <t xml:space="preserve">INTELLIGENCE GAPS OUTSTANDING</t>
  </si>
  <si>
    <t xml:space="preserve">Margin definition</t>
  </si>
  <si>
    <t xml:space="preserve">What the current 10% contribution margin includes and excludes is unverified.</t>
  </si>
  <si>
    <t xml:space="preserve">Product economics</t>
  </si>
  <si>
    <t xml:space="preserve">Product-level AOV and contribution margin, stock and supplier reliability are unverified.</t>
  </si>
  <si>
    <t xml:space="preserve">Cost exposure</t>
  </si>
  <si>
    <t xml:space="preserve">Shipping subsidy and geographic delivery economics, payment-processing costs and settlement delays, refund/cancellation/chargeback assumptions are unverified.</t>
  </si>
  <si>
    <t xml:space="preserve">Instrumentation</t>
  </si>
  <si>
    <t xml:space="preserve">Current Meta Pixel, Conversions API, analytics and WooCommerce event quality is unverified.</t>
  </si>
  <si>
    <t xml:space="preserve">Campaign inputs</t>
  </si>
  <si>
    <t xml:space="preserve">Hero product, target audience, creative assets and landing-page readiness are unconfirmed.</t>
  </si>
  <si>
    <t xml:space="preserve">Budget nature</t>
  </si>
  <si>
    <t xml:space="preserve">Whether R$20/day is a one-month seed or a continuing base contribution is unconfirmed.</t>
  </si>
  <si>
    <t xml:space="preserve">OFFICIAL SOURCES CITED IN THE PLAN</t>
  </si>
  <si>
    <t xml:space="preserve">Meta Pixel conversion tracking (Meta for Developers)</t>
  </si>
  <si>
    <t xml:space="preserve">https://developers.facebook.com/docs/meta-pixel/implementation/conversion-tracking/</t>
  </si>
  <si>
    <t xml:space="preserve">Website purchase ads (Meta Business Help Centre)</t>
  </si>
  <si>
    <t xml:space="preserve">https://www.facebook.com/business/help/1104266309729652</t>
  </si>
  <si>
    <t xml:space="preserve">Learning phase guidance (Meta Business Help Centre)</t>
  </si>
  <si>
    <t xml:space="preserve">https://www.facebook.com/business/help/316478108955072</t>
  </si>
  <si>
    <t xml:space="preserve">Colour convention: blue text = user-entered input, black text = formula on the same sheet, green text = formula linking to another sheet.</t>
  </si>
  <si>
    <t xml:space="preserve">Note: the 10% contribution-margin definition, product-level AOV and margin, shipping, refunds, payment fees, taxes and the hero product all remain INTELLIGENCE GAPS. This workbook records observations; it does not assume results.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</si>
</sst>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(R$ &quot;#,##0.00\);\–"/>
    <numFmt numFmtId="166" formatCode="0.0\x;\-0.0\x;\–"/>
    <numFmt numFmtId="167" formatCode="#,##0;\(#,##0\);\–"/>
    <numFmt numFmtId="168" formatCode="0.0%;\-0.0%;\–"/>
    <numFmt numFmtId="169" formatCode="dd/mm/yyyy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474D"/>
      <name val="Calibri"/>
      <family val="0"/>
      <charset val="1"/>
    </font>
    <font>
      <i val="true"/>
      <sz val="10"/>
      <color rgb="FF6E6E68"/>
      <name val="Calibri"/>
      <family val="0"/>
      <charset val="1"/>
    </font>
    <font>
      <b val="true"/>
      <sz val="10"/>
      <color rgb="FF20808D"/>
      <name val="Calibri"/>
      <family val="0"/>
      <charset val="1"/>
    </font>
    <font>
      <i val="true"/>
      <sz val="9"/>
      <color rgb="FF6E6E68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20"/>
      <color rgb="FF008000"/>
      <name val="Calibri"/>
      <family val="0"/>
      <charset val="1"/>
    </font>
    <font>
      <i val="true"/>
      <sz val="8"/>
      <color rgb="FF6E6E68"/>
      <name val="Calibri"/>
      <family val="0"/>
      <charset val="1"/>
    </font>
    <font>
      <b val="true"/>
      <sz val="12"/>
      <color rgb="FF1B474D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28251D"/>
      <name val="Calibri"/>
      <family val="0"/>
      <charset val="1"/>
    </font>
    <font>
      <sz val="10"/>
      <color rgb="FF008000"/>
      <name val="Calibri"/>
      <family val="0"/>
      <charset val="1"/>
    </font>
    <font>
      <b val="true"/>
      <sz val="10"/>
      <color rgb="FF008000"/>
      <name val="Calibri"/>
      <family val="0"/>
      <charset val="1"/>
    </font>
    <font>
      <b val="true"/>
      <sz val="10"/>
      <color rgb="FF28251D"/>
      <name val="Calibri"/>
      <family val="0"/>
      <charset val="1"/>
    </font>
    <font>
      <i val="true"/>
      <sz val="9"/>
      <color rgb="FF9C5700"/>
      <name val="Calibri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B474D"/>
      <name val="Calibri"/>
      <family val="0"/>
      <charset val="1"/>
    </font>
    <font>
      <b val="true"/>
      <sz val="10"/>
      <color rgb="FF1B474D"/>
      <name val="Calibri"/>
      <family val="0"/>
      <charset val="1"/>
    </font>
    <font>
      <b val="true"/>
      <sz val="11"/>
      <color rgb="FF0000F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1"/>
      <color rgb="FF008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u val="single"/>
      <sz val="10"/>
      <color rgb="FF01696F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74D"/>
        <bgColor rgb="FF0B6A3A"/>
      </patternFill>
    </fill>
    <fill>
      <patternFill patternType="solid">
        <fgColor rgb="FFF4F3F0"/>
        <bgColor rgb="FFFBFBF9"/>
      </patternFill>
    </fill>
    <fill>
      <patternFill patternType="solid">
        <fgColor rgb="FFFBFBF9"/>
        <bgColor rgb="FFFFFFFF"/>
      </patternFill>
    </fill>
    <fill>
      <patternFill patternType="solid">
        <fgColor rgb="FFD7E9EC"/>
        <bgColor rgb="FFE8E8E4"/>
      </patternFill>
    </fill>
    <fill>
      <patternFill patternType="solid">
        <fgColor rgb="FF20808D"/>
        <bgColor rgb="FF01696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CCC8"/>
      </left>
      <right style="thin">
        <color rgb="FFC9CCC8"/>
      </right>
      <top style="thin">
        <color rgb="FFC9CCC8"/>
      </top>
      <bottom style="thin">
        <color rgb="FFC9CCC8"/>
      </bottom>
      <diagonal/>
    </border>
    <border diagonalUp="false" diagonalDown="false">
      <left/>
      <right/>
      <top style="double">
        <color rgb="FF1B474D"/>
      </top>
      <bottom style="thin">
        <color rgb="FFC9CCC8"/>
      </bottom>
      <diagonal/>
    </border>
    <border diagonalUp="false" diagonalDown="false">
      <left style="thin">
        <color rgb="FFC9CCC8"/>
      </left>
      <right style="thin">
        <color rgb="FFC9CCC8"/>
      </right>
      <top style="double">
        <color rgb="FF1B474D"/>
      </top>
      <bottom style="thin">
        <color rgb="FFC9CC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9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9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3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7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2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Calibri"/>
        <charset val="1"/>
        <family val="0"/>
        <b val="1"/>
        <color rgb="FF0B6A3A"/>
        <sz val="10"/>
      </font>
      <fill>
        <patternFill>
          <bgColor rgb="FFC6EFCE"/>
        </patternFill>
      </fill>
    </dxf>
    <dxf>
      <font>
        <name val="Calibri"/>
        <charset val="1"/>
        <family val="0"/>
        <color rgb="FF9C5700"/>
        <sz val="10"/>
      </font>
      <fill>
        <patternFill>
          <bgColor rgb="FFFFEB9C"/>
        </patternFill>
      </fill>
    </dxf>
    <dxf>
      <font>
        <name val="Calibri"/>
        <charset val="1"/>
        <family val="0"/>
        <i val="1"/>
        <color rgb="FF595959"/>
        <sz val="10"/>
      </font>
      <fill>
        <patternFill>
          <bgColor rgb="FFE8E8E4"/>
        </patternFill>
      </fill>
    </dxf>
    <dxf>
      <font>
        <name val="Calibri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9C0006"/>
        <sz val="20"/>
      </font>
      <fill>
        <patternFill>
          <bgColor rgb="FFFFC7CE"/>
        </patternFill>
      </fill>
    </dxf>
    <dxf>
      <font>
        <name val="Calibri"/>
        <charset val="1"/>
        <family val="0"/>
        <b val="1"/>
        <color rgb="FF0B6A3A"/>
        <sz val="20"/>
      </font>
      <fill>
        <patternFill>
          <bgColor rgb="FFC6EFCE"/>
        </patternFill>
      </fill>
    </dxf>
    <dxf>
      <fill>
        <patternFill patternType="solid">
          <fgColor rgb="FF1B474D"/>
          <bgColor rgb="FF000000"/>
        </patternFill>
      </fill>
    </dxf>
    <dxf>
      <fill>
        <patternFill patternType="solid">
          <fgColor rgb="FFFBFB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20808D"/>
      <rgbColor rgb="FFC9CCC8"/>
      <rgbColor rgb="FF878787"/>
      <rgbColor rgb="FF9999FF"/>
      <rgbColor rgb="FF993366"/>
      <rgbColor rgb="FFFBFBF9"/>
      <rgbColor rgb="FFD7E9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1696F"/>
      <rgbColor rgb="FF0000FF"/>
      <rgbColor rgb="FF00CCFF"/>
      <rgbColor rgb="FFF4F3F0"/>
      <rgbColor rgb="FFC6EFCE"/>
      <rgbColor rgb="FFFFEB9C"/>
      <rgbColor rgb="FFBCE2E7"/>
      <rgbColor rgb="FFE8E8E4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E6E68"/>
      <rgbColor rgb="FF969696"/>
      <rgbColor rgb="FF1B474D"/>
      <rgbColor rgb="FF0B6A3A"/>
      <rgbColor rgb="FF003300"/>
      <rgbColor rgb="FF333300"/>
      <rgbColor rgb="FF9C5700"/>
      <rgbColor rgb="FF993366"/>
      <rgbColor rgb="FF595959"/>
      <rgbColor rgb="FF2825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Weekly spend, settled revenue and contribution (R$)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Dashboard'!B14</c:f>
              <c:strCache>
                <c:ptCount val="1"/>
                <c:pt idx="0">
                  <c:v>Spend (R$)</c:v>
                </c:pt>
              </c:strCache>
            </c:strRef>
          </c:tx>
          <c:spPr>
            <a:solidFill>
              <a:srgbClr val="1B474D"/>
            </a:solidFill>
            <a:ln w="12600">
              <a:solidFill>
                <a:srgbClr val="1B474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1B474D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Dashboard'!$C$13:$G$13</c:f>
              <c:strCache>
                <c:ptCount val="5"/>
                <c:pt idx="0">
                  <c:v>Week 1 · Days 1–7</c:v>
                </c:pt>
                <c:pt idx="1">
                  <c:v>Week 2 · Days 8–14</c:v>
                </c:pt>
                <c:pt idx="2">
                  <c:v>Week 3 · Days 15–21</c:v>
                </c:pt>
                <c:pt idx="3">
                  <c:v>Week 4 · Days 22–28</c:v>
                </c:pt>
                <c:pt idx="4">
                  <c:v>Closeout · Days 29–30</c:v>
                </c:pt>
              </c:strCache>
            </c:strRef>
          </c:cat>
          <c:val>
            <c:numRef>
              <c:f>'Executive Dashboard'!$C$14:$G$14</c:f>
              <c:numCache>
                <c:formatCode>"R$ "#,##0.00;"(R$ "#,##0.00\);\–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'Executive Dashboard'!B15</c:f>
              <c:strCache>
                <c:ptCount val="1"/>
                <c:pt idx="0">
                  <c:v>Settled Attributed Revenue (R$)</c:v>
                </c:pt>
              </c:strCache>
            </c:strRef>
          </c:tx>
          <c:spPr>
            <a:solidFill>
              <a:srgbClr val="20808D"/>
            </a:solidFill>
            <a:ln w="12600">
              <a:solidFill>
                <a:srgbClr val="20808D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20808D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Dashboard'!$C$13:$G$13</c:f>
              <c:strCache>
                <c:ptCount val="5"/>
                <c:pt idx="0">
                  <c:v>Week 1 · Days 1–7</c:v>
                </c:pt>
                <c:pt idx="1">
                  <c:v>Week 2 · Days 8–14</c:v>
                </c:pt>
                <c:pt idx="2">
                  <c:v>Week 3 · Days 15–21</c:v>
                </c:pt>
                <c:pt idx="3">
                  <c:v>Week 4 · Days 22–28</c:v>
                </c:pt>
                <c:pt idx="4">
                  <c:v>Closeout · Days 29–30</c:v>
                </c:pt>
              </c:strCache>
            </c:strRef>
          </c:cat>
          <c:val>
            <c:numRef>
              <c:f>'Executive Dashboard'!$C$15:$G$15</c:f>
              <c:numCache>
                <c:formatCode>"R$ "#,##0.00;"(R$ "#,##0.00\);\–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'Executive Dashboard'!B19</c:f>
              <c:strCache>
                <c:ptCount val="1"/>
                <c:pt idx="0">
                  <c:v>Contribution (R$)</c:v>
                </c:pt>
              </c:strCache>
            </c:strRef>
          </c:tx>
          <c:spPr>
            <a:solidFill>
              <a:srgbClr val="BCE2E7"/>
            </a:solidFill>
            <a:ln w="12600">
              <a:solidFill>
                <a:srgbClr val="BCE2E7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BCE2E7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Dashboard'!$C$13:$G$13</c:f>
              <c:strCache>
                <c:ptCount val="5"/>
                <c:pt idx="0">
                  <c:v>Week 1 · Days 1–7</c:v>
                </c:pt>
                <c:pt idx="1">
                  <c:v>Week 2 · Days 8–14</c:v>
                </c:pt>
                <c:pt idx="2">
                  <c:v>Week 3 · Days 15–21</c:v>
                </c:pt>
                <c:pt idx="3">
                  <c:v>Week 4 · Days 22–28</c:v>
                </c:pt>
                <c:pt idx="4">
                  <c:v>Closeout · Days 29–30</c:v>
                </c:pt>
              </c:strCache>
            </c:strRef>
          </c:cat>
          <c:val>
            <c:numRef>
              <c:f>'Executive Dashboard'!$C$19:$G$19</c:f>
              <c:numCache>
                <c:formatCode>"R$ "#,##0.00;"(R$ "#,##0.00\);\–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60"/>
        <c:overlap val="0"/>
        <c:axId val="22651538"/>
        <c:axId val="67401233"/>
      </c:barChart>
      <c:catAx>
        <c:axId val="226515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401233"/>
        <c:crosses val="autoZero"/>
        <c:auto val="1"/>
        <c:lblAlgn val="ctr"/>
        <c:lblOffset val="100"/>
        <c:noMultiLvlLbl val="0"/>
      </c:catAx>
      <c:valAx>
        <c:axId val="674012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;&quot;(R$ &quot;#,##0.00\);\–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265153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31</xdr:row>
      <xdr:rowOff>0</xdr:rowOff>
    </xdr:from>
    <xdr:to>
      <xdr:col>6</xdr:col>
      <xdr:colOff>886320</xdr:colOff>
      <xdr:row>44</xdr:row>
      <xdr:rowOff>115200</xdr:rowOff>
    </xdr:to>
    <xdr:graphicFrame>
      <xdr:nvGraphicFramePr>
        <xdr:cNvPr id="1" name="Chart 1"/>
        <xdr:cNvGraphicFramePr/>
      </xdr:nvGraphicFramePr>
      <xdr:xfrm>
        <a:off x="211320" y="7473240"/>
        <a:ext cx="863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developers.facebook.com/docs/meta-pixel/implementation/conversion-tracking/" TargetMode="External"/><Relationship Id="rId2" Type="http://schemas.openxmlformats.org/officeDocument/2006/relationships/hyperlink" Target="https://www.facebook.com/business/help/1104266309729652" TargetMode="External"/><Relationship Id="rId3" Type="http://schemas.openxmlformats.org/officeDocument/2006/relationships/hyperlink" Target="https://www.facebook.com/business/help/31647810895507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11" min="3" style="0" width="19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30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</row>
    <row r="7" customFormat="false" ht="25.5" hidden="false" customHeight="true" outlineLevel="0" collapsed="false">
      <c r="B7" s="5" t="s">
        <v>4</v>
      </c>
      <c r="C7" s="5"/>
      <c r="D7" s="5" t="s">
        <v>5</v>
      </c>
      <c r="E7" s="5"/>
      <c r="F7" s="5" t="s">
        <v>6</v>
      </c>
      <c r="G7" s="5"/>
      <c r="H7" s="5" t="s">
        <v>7</v>
      </c>
      <c r="I7" s="5"/>
      <c r="J7" s="5" t="s">
        <v>8</v>
      </c>
      <c r="K7" s="5"/>
    </row>
    <row r="8" customFormat="false" ht="21.75" hidden="false" customHeight="true" outlineLevel="0" collapsed="false">
      <c r="B8" s="6" t="n">
        <f aca="false">'Weekly Summary'!$H$8</f>
        <v>0</v>
      </c>
      <c r="C8" s="6"/>
      <c r="D8" s="6" t="n">
        <f aca="false">'Weekly Summary'!$H$11</f>
        <v>0</v>
      </c>
      <c r="E8" s="6"/>
      <c r="F8" s="6" t="str">
        <f aca="false">IF('Weekly Summary'!$H$21="","",'Weekly Summary'!$H$21)</f>
        <v/>
      </c>
      <c r="G8" s="6"/>
      <c r="H8" s="7" t="str">
        <f aca="false">IF('Weekly Summary'!$H$20="","",'Weekly Summary'!$H$20)</f>
        <v/>
      </c>
      <c r="I8" s="7"/>
      <c r="J8" s="6" t="str">
        <f aca="false">IF('Weekly Summary'!$H$22="","",'Weekly Summary'!$H$22)</f>
        <v/>
      </c>
      <c r="K8" s="6"/>
    </row>
    <row r="9" customFormat="false" ht="15.75" hidden="false" customHeight="true" outlineLevel="0" collapsed="false">
      <c r="B9" s="6"/>
      <c r="C9" s="6"/>
      <c r="D9" s="6"/>
      <c r="E9" s="6"/>
      <c r="F9" s="6"/>
      <c r="G9" s="6"/>
      <c r="H9" s="7"/>
      <c r="I9" s="7"/>
      <c r="J9" s="6"/>
      <c r="K9" s="6"/>
    </row>
    <row r="10" customFormat="false" ht="25.5" hidden="false" customHeight="true" outlineLevel="0" collapsed="false">
      <c r="B10" s="8" t="str">
        <f aca="false">IF(N('Weekly Summary'!$H$8)=0,"No spend recorded · ceiling R$600","Remaining: "&amp;TEXT('Daily Input'!$I$3-N('Weekly Summary'!$H$8),"""R$"" #,##0.00"))</f>
        <v>No spend recorded · ceiling R$600</v>
      </c>
      <c r="C10" s="8"/>
      <c r="D10" s="8" t="str">
        <f aca="false">IF(N('Weekly Summary'!$H$11)=0,"No settled revenue yet","Fulfilled orders: "&amp;TEXT(N('Weekly Summary'!$H$13),"#,##0"))</f>
        <v>No settled revenue yet</v>
      </c>
      <c r="E10" s="8"/>
      <c r="F10" s="8" t="str">
        <f aca="false">IF('Weekly Summary'!$H$21="","Reinvestment permitted only on positive verified profit",IF('Weekly Summary'!$H$21&gt;0,"Positive — reinvestment may be released","Negative — automatic reinvestment stops"))</f>
        <v>Reinvestment permitted only on positive verified profit</v>
      </c>
      <c r="G10" s="8"/>
      <c r="H10" s="8" t="str">
        <f aca="false">IF('Weekly Summary'!$H$20="","No spend recorded",IF('Weekly Summary'!$H$20&gt;='Weekly Summary'!$E$3,"At or above break-even","Below the 10.0x break-even threshold"))</f>
        <v>No spend recorded</v>
      </c>
      <c r="I10" s="8"/>
      <c r="J10" s="8" t="str">
        <f aca="false">IF(N('Weekly Summary'!$H$22)=0,"Nothing verified for release","Recovered principal + verified profit")</f>
        <v>Nothing verified for release</v>
      </c>
      <c r="K10" s="8"/>
    </row>
    <row r="12" customFormat="false" ht="15" hidden="false" customHeight="false" outlineLevel="0" collapsed="false">
      <c r="B12" s="9" t="s">
        <v>9</v>
      </c>
    </row>
    <row r="13" customFormat="false" ht="30" hidden="false" customHeight="true" outlineLevel="0" collapsed="false">
      <c r="B13" s="10" t="s">
        <v>10</v>
      </c>
      <c r="C13" s="10" t="s">
        <v>11</v>
      </c>
      <c r="D13" s="10" t="s">
        <v>12</v>
      </c>
      <c r="E13" s="10" t="s">
        <v>13</v>
      </c>
      <c r="F13" s="10" t="s">
        <v>14</v>
      </c>
      <c r="G13" s="10" t="s">
        <v>15</v>
      </c>
      <c r="H13" s="10" t="s">
        <v>16</v>
      </c>
    </row>
    <row r="14" customFormat="false" ht="15" hidden="false" customHeight="false" outlineLevel="0" collapsed="false">
      <c r="B14" s="11" t="s">
        <v>17</v>
      </c>
      <c r="C14" s="12" t="n">
        <f aca="false">'Weekly Summary'!C8</f>
        <v>0</v>
      </c>
      <c r="D14" s="12" t="n">
        <f aca="false">'Weekly Summary'!D8</f>
        <v>0</v>
      </c>
      <c r="E14" s="12" t="n">
        <f aca="false">'Weekly Summary'!E8</f>
        <v>0</v>
      </c>
      <c r="F14" s="12" t="n">
        <f aca="false">'Weekly Summary'!F8</f>
        <v>0</v>
      </c>
      <c r="G14" s="12" t="n">
        <f aca="false">'Weekly Summary'!G8</f>
        <v>0</v>
      </c>
      <c r="H14" s="13" t="n">
        <f aca="false">'Weekly Summary'!H8</f>
        <v>0</v>
      </c>
    </row>
    <row r="15" customFormat="false" ht="15" hidden="false" customHeight="false" outlineLevel="0" collapsed="false">
      <c r="B15" s="14" t="s">
        <v>18</v>
      </c>
      <c r="C15" s="15" t="n">
        <f aca="false">'Weekly Summary'!C11</f>
        <v>0</v>
      </c>
      <c r="D15" s="15" t="n">
        <f aca="false">'Weekly Summary'!D11</f>
        <v>0</v>
      </c>
      <c r="E15" s="15" t="n">
        <f aca="false">'Weekly Summary'!E11</f>
        <v>0</v>
      </c>
      <c r="F15" s="15" t="n">
        <f aca="false">'Weekly Summary'!F11</f>
        <v>0</v>
      </c>
      <c r="G15" s="15" t="n">
        <f aca="false">'Weekly Summary'!G11</f>
        <v>0</v>
      </c>
      <c r="H15" s="16" t="n">
        <f aca="false">'Weekly Summary'!H11</f>
        <v>0</v>
      </c>
    </row>
    <row r="16" customFormat="false" ht="15" hidden="false" customHeight="false" outlineLevel="0" collapsed="false">
      <c r="B16" s="11" t="s">
        <v>19</v>
      </c>
      <c r="C16" s="17" t="n">
        <f aca="false">'Weekly Summary'!C13</f>
        <v>0</v>
      </c>
      <c r="D16" s="17" t="n">
        <f aca="false">'Weekly Summary'!D13</f>
        <v>0</v>
      </c>
      <c r="E16" s="17" t="n">
        <f aca="false">'Weekly Summary'!E13</f>
        <v>0</v>
      </c>
      <c r="F16" s="17" t="n">
        <f aca="false">'Weekly Summary'!F13</f>
        <v>0</v>
      </c>
      <c r="G16" s="17" t="n">
        <f aca="false">'Weekly Summary'!G13</f>
        <v>0</v>
      </c>
      <c r="H16" s="18" t="n">
        <f aca="false">'Weekly Summary'!H13</f>
        <v>0</v>
      </c>
    </row>
    <row r="17" customFormat="false" ht="15" hidden="false" customHeight="false" outlineLevel="0" collapsed="false">
      <c r="B17" s="14" t="s">
        <v>20</v>
      </c>
      <c r="C17" s="15" t="str">
        <f aca="false">'Weekly Summary'!C14</f>
        <v/>
      </c>
      <c r="D17" s="15" t="str">
        <f aca="false">'Weekly Summary'!D14</f>
        <v/>
      </c>
      <c r="E17" s="15" t="str">
        <f aca="false">'Weekly Summary'!E14</f>
        <v/>
      </c>
      <c r="F17" s="15" t="str">
        <f aca="false">'Weekly Summary'!F14</f>
        <v/>
      </c>
      <c r="G17" s="15" t="str">
        <f aca="false">'Weekly Summary'!G14</f>
        <v/>
      </c>
      <c r="H17" s="16" t="str">
        <f aca="false">'Weekly Summary'!H14</f>
        <v/>
      </c>
    </row>
    <row r="18" customFormat="false" ht="15" hidden="false" customHeight="false" outlineLevel="0" collapsed="false">
      <c r="B18" s="11" t="s">
        <v>21</v>
      </c>
      <c r="C18" s="19" t="str">
        <f aca="false">'Weekly Summary'!C15</f>
        <v/>
      </c>
      <c r="D18" s="19" t="str">
        <f aca="false">'Weekly Summary'!D15</f>
        <v/>
      </c>
      <c r="E18" s="19" t="str">
        <f aca="false">'Weekly Summary'!E15</f>
        <v/>
      </c>
      <c r="F18" s="19" t="str">
        <f aca="false">'Weekly Summary'!F15</f>
        <v/>
      </c>
      <c r="G18" s="19" t="str">
        <f aca="false">'Weekly Summary'!G15</f>
        <v/>
      </c>
      <c r="H18" s="20" t="str">
        <f aca="false">'Weekly Summary'!H15</f>
        <v/>
      </c>
    </row>
    <row r="19" customFormat="false" ht="15" hidden="false" customHeight="false" outlineLevel="0" collapsed="false">
      <c r="B19" s="14" t="s">
        <v>22</v>
      </c>
      <c r="C19" s="15" t="n">
        <f aca="false">'Weekly Summary'!C16</f>
        <v>0</v>
      </c>
      <c r="D19" s="15" t="n">
        <f aca="false">'Weekly Summary'!D16</f>
        <v>0</v>
      </c>
      <c r="E19" s="15" t="n">
        <f aca="false">'Weekly Summary'!E16</f>
        <v>0</v>
      </c>
      <c r="F19" s="15" t="n">
        <f aca="false">'Weekly Summary'!F16</f>
        <v>0</v>
      </c>
      <c r="G19" s="15" t="n">
        <f aca="false">'Weekly Summary'!G16</f>
        <v>0</v>
      </c>
      <c r="H19" s="16" t="n">
        <f aca="false">'Weekly Summary'!H16</f>
        <v>0</v>
      </c>
    </row>
    <row r="20" customFormat="false" ht="15" hidden="false" customHeight="false" outlineLevel="0" collapsed="false">
      <c r="B20" s="11" t="s">
        <v>23</v>
      </c>
      <c r="C20" s="12" t="str">
        <f aca="false">'Weekly Summary'!C18</f>
        <v/>
      </c>
      <c r="D20" s="12" t="str">
        <f aca="false">'Weekly Summary'!D18</f>
        <v/>
      </c>
      <c r="E20" s="12" t="str">
        <f aca="false">'Weekly Summary'!E18</f>
        <v/>
      </c>
      <c r="F20" s="12" t="str">
        <f aca="false">'Weekly Summary'!F18</f>
        <v/>
      </c>
      <c r="G20" s="12" t="str">
        <f aca="false">'Weekly Summary'!G18</f>
        <v/>
      </c>
      <c r="H20" s="13" t="str">
        <f aca="false">'Weekly Summary'!H18</f>
        <v/>
      </c>
    </row>
    <row r="21" customFormat="false" ht="15" hidden="false" customHeight="false" outlineLevel="0" collapsed="false">
      <c r="B21" s="14" t="s">
        <v>24</v>
      </c>
      <c r="C21" s="15" t="str">
        <f aca="false">'Weekly Summary'!C19</f>
        <v/>
      </c>
      <c r="D21" s="15" t="str">
        <f aca="false">'Weekly Summary'!D19</f>
        <v/>
      </c>
      <c r="E21" s="15" t="str">
        <f aca="false">'Weekly Summary'!E19</f>
        <v/>
      </c>
      <c r="F21" s="15" t="str">
        <f aca="false">'Weekly Summary'!F19</f>
        <v/>
      </c>
      <c r="G21" s="15" t="str">
        <f aca="false">'Weekly Summary'!G19</f>
        <v/>
      </c>
      <c r="H21" s="16" t="str">
        <f aca="false">'Weekly Summary'!H19</f>
        <v/>
      </c>
    </row>
    <row r="22" customFormat="false" ht="15" hidden="false" customHeight="false" outlineLevel="0" collapsed="false">
      <c r="B22" s="11" t="s">
        <v>25</v>
      </c>
      <c r="C22" s="21" t="str">
        <f aca="false">'Weekly Summary'!C20</f>
        <v/>
      </c>
      <c r="D22" s="21" t="str">
        <f aca="false">'Weekly Summary'!D20</f>
        <v/>
      </c>
      <c r="E22" s="21" t="str">
        <f aca="false">'Weekly Summary'!E20</f>
        <v/>
      </c>
      <c r="F22" s="21" t="str">
        <f aca="false">'Weekly Summary'!F20</f>
        <v/>
      </c>
      <c r="G22" s="21" t="str">
        <f aca="false">'Weekly Summary'!G20</f>
        <v/>
      </c>
      <c r="H22" s="22" t="str">
        <f aca="false">'Weekly Summary'!H20</f>
        <v/>
      </c>
    </row>
    <row r="23" customFormat="false" ht="15" hidden="false" customHeight="false" outlineLevel="0" collapsed="false">
      <c r="B23" s="23" t="s">
        <v>26</v>
      </c>
      <c r="C23" s="15" t="str">
        <f aca="false">'Weekly Summary'!C21</f>
        <v/>
      </c>
      <c r="D23" s="15" t="str">
        <f aca="false">'Weekly Summary'!D21</f>
        <v/>
      </c>
      <c r="E23" s="15" t="str">
        <f aca="false">'Weekly Summary'!E21</f>
        <v/>
      </c>
      <c r="F23" s="15" t="str">
        <f aca="false">'Weekly Summary'!F21</f>
        <v/>
      </c>
      <c r="G23" s="15" t="str">
        <f aca="false">'Weekly Summary'!G21</f>
        <v/>
      </c>
      <c r="H23" s="16" t="str">
        <f aca="false">'Weekly Summary'!H21</f>
        <v/>
      </c>
    </row>
    <row r="24" customFormat="false" ht="15" hidden="false" customHeight="false" outlineLevel="0" collapsed="false">
      <c r="B24" s="11" t="s">
        <v>27</v>
      </c>
      <c r="C24" s="12" t="str">
        <f aca="false">'Weekly Summary'!C22</f>
        <v/>
      </c>
      <c r="D24" s="12" t="str">
        <f aca="false">'Weekly Summary'!D22</f>
        <v/>
      </c>
      <c r="E24" s="12" t="str">
        <f aca="false">'Weekly Summary'!E22</f>
        <v/>
      </c>
      <c r="F24" s="12" t="str">
        <f aca="false">'Weekly Summary'!F22</f>
        <v/>
      </c>
      <c r="G24" s="12" t="str">
        <f aca="false">'Weekly Summary'!G22</f>
        <v/>
      </c>
      <c r="H24" s="13" t="str">
        <f aca="false">'Weekly Summary'!H22</f>
        <v/>
      </c>
    </row>
    <row r="25" customFormat="false" ht="30" hidden="false" customHeight="true" outlineLevel="0" collapsed="false">
      <c r="B25" s="14" t="s">
        <v>28</v>
      </c>
      <c r="C25" s="24" t="str">
        <f aca="false">'Weekly Summary'!C41</f>
        <v>N/A</v>
      </c>
      <c r="D25" s="24" t="str">
        <f aca="false">'Weekly Summary'!D41</f>
        <v>N/A</v>
      </c>
      <c r="E25" s="24" t="str">
        <f aca="false">'Weekly Summary'!E41</f>
        <v>N/A</v>
      </c>
      <c r="F25" s="24" t="str">
        <f aca="false">'Weekly Summary'!F41</f>
        <v>N/A</v>
      </c>
      <c r="G25" s="24" t="str">
        <f aca="false">'Weekly Summary'!G41</f>
        <v>N/A</v>
      </c>
      <c r="H25" s="25" t="str">
        <f aca="false">'Weekly Summary'!H41</f>
        <v>N/A</v>
      </c>
    </row>
    <row r="26" customFormat="false" ht="30" hidden="false" customHeight="true" outlineLevel="0" collapsed="false">
      <c r="B26" s="26" t="s">
        <v>29</v>
      </c>
      <c r="C26" s="27" t="str">
        <f aca="false">'Weekly Summary'!C43</f>
        <v>HOLD / INSUFFICIENT DATA</v>
      </c>
      <c r="D26" s="27" t="str">
        <f aca="false">'Weekly Summary'!D43</f>
        <v>HOLD / INSUFFICIENT DATA</v>
      </c>
      <c r="E26" s="27" t="str">
        <f aca="false">'Weekly Summary'!E43</f>
        <v>HOLD / INSUFFICIENT DATA</v>
      </c>
      <c r="F26" s="27" t="str">
        <f aca="false">'Weekly Summary'!F43</f>
        <v>HOLD / INSUFFICIENT DATA</v>
      </c>
      <c r="G26" s="27" t="str">
        <f aca="false">'Weekly Summary'!G43</f>
        <v>HOLD / INSUFFICIENT DATA</v>
      </c>
      <c r="H26" s="28" t="str">
        <f aca="false">'Weekly Summary'!H43</f>
        <v>HOLD / INSUFFICIENT DATA</v>
      </c>
    </row>
    <row r="27" customFormat="false" ht="30" hidden="false" customHeight="true" outlineLevel="0" collapsed="false">
      <c r="B27" s="23" t="s">
        <v>30</v>
      </c>
      <c r="C27" s="24" t="str">
        <f aca="false">'Weekly Summary'!C44</f>
        <v>NO DATA</v>
      </c>
      <c r="D27" s="24" t="str">
        <f aca="false">'Weekly Summary'!D44</f>
        <v>NO DATA</v>
      </c>
      <c r="E27" s="24" t="str">
        <f aca="false">'Weekly Summary'!E44</f>
        <v>NO DATA</v>
      </c>
      <c r="F27" s="24" t="str">
        <f aca="false">'Weekly Summary'!F44</f>
        <v>NO DATA</v>
      </c>
      <c r="G27" s="24" t="str">
        <f aca="false">'Weekly Summary'!G44</f>
        <v>NO DATA</v>
      </c>
      <c r="H27" s="25" t="str">
        <f aca="false">'Weekly Summary'!H44</f>
        <v>NO DATA</v>
      </c>
    </row>
    <row r="29" customFormat="false" ht="15" hidden="false" customHeight="false" outlineLevel="0" collapsed="false">
      <c r="B29" s="29" t="s">
        <v>31</v>
      </c>
      <c r="C29" s="29"/>
      <c r="D29" s="29"/>
      <c r="E29" s="29"/>
      <c r="F29" s="29"/>
      <c r="G29" s="29"/>
      <c r="H29" s="29"/>
      <c r="I29" s="29"/>
      <c r="J29" s="29"/>
      <c r="K29" s="29"/>
    </row>
    <row r="30" customFormat="false" ht="25.5" hidden="false" customHeight="true" outlineLevel="0" collapsed="false">
      <c r="B30" s="30" t="s">
        <v>32</v>
      </c>
      <c r="C30" s="30"/>
      <c r="D30" s="30"/>
      <c r="E30" s="30"/>
      <c r="F30" s="30"/>
      <c r="G30" s="30"/>
      <c r="H30" s="30"/>
      <c r="I30" s="30"/>
      <c r="J30" s="30"/>
      <c r="K30" s="30"/>
    </row>
  </sheetData>
  <mergeCells count="18">
    <mergeCell ref="B5:K5"/>
    <mergeCell ref="B7:C7"/>
    <mergeCell ref="D7:E7"/>
    <mergeCell ref="F7:G7"/>
    <mergeCell ref="H7:I7"/>
    <mergeCell ref="J7:K7"/>
    <mergeCell ref="B8:C9"/>
    <mergeCell ref="D8:E9"/>
    <mergeCell ref="F8:G9"/>
    <mergeCell ref="H8:I9"/>
    <mergeCell ref="J8:K9"/>
    <mergeCell ref="B10:C10"/>
    <mergeCell ref="D10:E10"/>
    <mergeCell ref="F10:G10"/>
    <mergeCell ref="H10:I10"/>
    <mergeCell ref="J10:K10"/>
    <mergeCell ref="B29:K29"/>
    <mergeCell ref="B30:K30"/>
  </mergeCells>
  <conditionalFormatting sqref="C26:H26">
    <cfRule type="cellIs" priority="2" operator="equal" aboveAverage="0" equalAverage="0" bottom="0" percent="0" rank="0" text="" dxfId="0">
      <formula>"CONTINUE"</formula>
    </cfRule>
    <cfRule type="cellIs" priority="3" operator="equal" aboveAverage="0" equalAverage="0" bottom="0" percent="0" rank="0" text="" dxfId="1">
      <formula>"CHANGE ONE VARIABLE"</formula>
    </cfRule>
    <cfRule type="cellIs" priority="4" operator="equal" aboveAverage="0" equalAverage="0" bottom="0" percent="0" rank="0" text="" dxfId="2">
      <formula>"HOLD / INSUFFICIENT DATA"</formula>
    </cfRule>
    <cfRule type="cellIs" priority="5" operator="equal" aboveAverage="0" equalAverage="0" bottom="0" percent="0" rank="0" text="" dxfId="3">
      <formula>"STOP"</formula>
    </cfRule>
  </conditionalFormatting>
  <conditionalFormatting sqref="C27:H27">
    <cfRule type="expression" priority="6" aboveAverage="0" equalAverage="0" bottom="0" percent="0" rank="0" text="" dxfId="0">
      <formula>ISNUMBER(SEARCH("PROFITABLE",C27))</formula>
    </cfRule>
    <cfRule type="expression" priority="7" aboveAverage="0" equalAverage="0" bottom="0" percent="0" rank="0" text="" dxfId="3">
      <formula>ISNUMBER(SEARCH("HARD STOP",C27))</formula>
    </cfRule>
    <cfRule type="expression" priority="8" aboveAverage="0" equalAverage="0" bottom="0" percent="0" rank="0" text="" dxfId="1">
      <formula>ISNUMBER(SEARCH("BELOW BREAK-EVEN",C27))</formula>
    </cfRule>
    <cfRule type="expression" priority="9" aboveAverage="0" equalAverage="0" bottom="0" percent="0" rank="0" text="" dxfId="2">
      <formula>ISNUMBER(SEARCH("NO DATA",C27))</formula>
    </cfRule>
  </conditionalFormatting>
  <conditionalFormatting sqref="C23:H23">
    <cfRule type="cellIs" priority="10" operator="lessThan" aboveAverage="0" equalAverage="0" bottom="0" percent="0" rank="0" text="" dxfId="3">
      <formula>0</formula>
    </cfRule>
    <cfRule type="cellIs" priority="11" operator="greaterThan" aboveAverage="0" equalAverage="0" bottom="0" percent="0" rank="0" text="" dxfId="0">
      <formula>0</formula>
    </cfRule>
  </conditionalFormatting>
  <conditionalFormatting sqref="C22:H22">
    <cfRule type="cellIs" priority="12" operator="greaterThanOrEqual" aboveAverage="0" equalAverage="0" bottom="0" percent="0" rank="0" text="" dxfId="0">
      <formula>10</formula>
    </cfRule>
    <cfRule type="cellIs" priority="13" operator="lessThan" aboveAverage="0" equalAverage="0" bottom="0" percent="0" rank="0" text="" dxfId="1">
      <formula>10</formula>
    </cfRule>
  </conditionalFormatting>
  <conditionalFormatting sqref="B8:C9">
    <cfRule type="expression" priority="14" aboveAverage="0" equalAverage="0" bottom="0" percent="0" rank="0" text="" dxfId="4">
      <formula>N('Weekly Summary'!$H$8)&gt;'Daily Input'!$I$3</formula>
    </cfRule>
  </conditionalFormatting>
  <conditionalFormatting sqref="H8:I9">
    <cfRule type="expression" priority="15" aboveAverage="0" equalAverage="0" bottom="0" percent="0" rank="0" text="" dxfId="5">
      <formula>AND(ISNUMBER('Weekly Summary'!$H$20),'Weekly Summary'!$H$20&gt;=10)</formula>
    </cfRule>
  </conditionalFormatting>
  <printOptions headings="false" gridLines="false" gridLinesSet="true" horizontalCentered="false" verticalCentered="false"/>
  <pageMargins left="0.3" right="0.3" top="0.35" bottom="0.4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Executive Dashboard · page 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6" min="15" style="0" width="14"/>
    <col collapsed="false" customWidth="true" hidden="false" outlineLevel="0" max="17" min="17" style="0" width="15"/>
    <col collapsed="false" customWidth="true" hidden="false" outlineLevel="0" max="18" min="18" style="0" width="14"/>
    <col collapsed="false" customWidth="true" hidden="false" outlineLevel="0" max="19" min="19" style="0" width="15"/>
    <col collapsed="false" customWidth="true" hidden="false" outlineLevel="0" max="20" min="20" style="0" width="12"/>
    <col collapsed="false" customWidth="true" hidden="false" outlineLevel="0" max="21" min="21" style="0" width="14"/>
    <col collapsed="false" customWidth="true" hidden="false" outlineLevel="0" max="24" min="22" style="0" width="15"/>
    <col collapsed="false" customWidth="true" hidden="false" outlineLevel="0" max="25" min="25" style="0" width="38"/>
    <col collapsed="false" customWidth="true" hidden="false" outlineLevel="0" max="26" min="26" style="0" width="10"/>
    <col collapsed="false" customWidth="true" hidden="false" outlineLevel="0" max="28" min="27" style="0" width="11"/>
    <col collapsed="false" customWidth="true" hidden="false" outlineLevel="0" max="29" min="29" style="0" width="12"/>
    <col collapsed="false" customWidth="true" hidden="false" outlineLevel="0" max="30" min="30" style="0" width="11"/>
    <col collapsed="false" customWidth="true" hidden="false" outlineLevel="0" max="33" min="31" style="0" width="12"/>
    <col collapsed="false" customWidth="true" hidden="false" outlineLevel="0" max="34" min="34" style="0" width="13"/>
    <col collapsed="false" customWidth="true" hidden="false" outlineLevel="0" max="35" min="35" style="0" width="12"/>
    <col collapsed="false" customWidth="true" hidden="false" outlineLevel="0" max="36" min="36" style="0" width="14"/>
    <col collapsed="false" customWidth="true" hidden="false" outlineLevel="0" max="37" min="37" style="0" width="11"/>
    <col collapsed="false" customWidth="true" hidden="false" outlineLevel="0" max="39" min="38" style="0" width="14"/>
  </cols>
  <sheetData>
    <row r="2" customFormat="false" ht="19.7" hidden="false" customHeight="false" outlineLevel="0" collapsed="false">
      <c r="B2" s="31" t="s">
        <v>33</v>
      </c>
    </row>
    <row r="3" customFormat="false" ht="33.75" hidden="false" customHeight="true" outlineLevel="0" collapsed="false">
      <c r="B3" s="32" t="s">
        <v>34</v>
      </c>
      <c r="C3" s="33" t="n">
        <v>46251</v>
      </c>
      <c r="D3" s="32" t="s">
        <v>35</v>
      </c>
      <c r="E3" s="34" t="n">
        <v>0.1</v>
      </c>
      <c r="F3" s="32" t="s">
        <v>36</v>
      </c>
      <c r="G3" s="35" t="n">
        <v>20</v>
      </c>
      <c r="H3" s="32" t="s">
        <v>37</v>
      </c>
      <c r="I3" s="35" t="n">
        <v>600</v>
      </c>
    </row>
    <row r="4" customFormat="false" ht="25.5" hidden="false" customHeight="true" outlineLevel="0" collapsed="false">
      <c r="B4" s="36" t="s">
        <v>38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</row>
    <row r="5" customFormat="false" ht="42" hidden="false" customHeight="true" outlineLevel="0" collapsed="false"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17</v>
      </c>
      <c r="I5" s="10" t="s">
        <v>45</v>
      </c>
      <c r="J5" s="10" t="s">
        <v>46</v>
      </c>
      <c r="K5" s="10" t="s">
        <v>47</v>
      </c>
      <c r="L5" s="10" t="s">
        <v>48</v>
      </c>
      <c r="M5" s="10" t="s">
        <v>49</v>
      </c>
      <c r="N5" s="10" t="s">
        <v>50</v>
      </c>
      <c r="O5" s="10" t="s">
        <v>51</v>
      </c>
      <c r="P5" s="10" t="s">
        <v>52</v>
      </c>
      <c r="Q5" s="10" t="s">
        <v>53</v>
      </c>
      <c r="R5" s="10" t="s">
        <v>54</v>
      </c>
      <c r="S5" s="10" t="s">
        <v>18</v>
      </c>
      <c r="T5" s="10" t="s">
        <v>55</v>
      </c>
      <c r="U5" s="10" t="s">
        <v>56</v>
      </c>
      <c r="V5" s="10" t="s">
        <v>57</v>
      </c>
      <c r="W5" s="10" t="s">
        <v>58</v>
      </c>
      <c r="X5" s="10" t="s">
        <v>59</v>
      </c>
      <c r="Y5" s="10" t="s">
        <v>60</v>
      </c>
      <c r="Z5" s="10" t="s">
        <v>61</v>
      </c>
      <c r="AA5" s="10" t="s">
        <v>62</v>
      </c>
      <c r="AB5" s="10" t="s">
        <v>63</v>
      </c>
      <c r="AC5" s="10" t="s">
        <v>64</v>
      </c>
      <c r="AD5" s="10" t="s">
        <v>65</v>
      </c>
      <c r="AE5" s="10" t="s">
        <v>66</v>
      </c>
      <c r="AF5" s="10" t="s">
        <v>67</v>
      </c>
      <c r="AG5" s="10" t="s">
        <v>20</v>
      </c>
      <c r="AH5" s="10" t="s">
        <v>22</v>
      </c>
      <c r="AI5" s="10" t="s">
        <v>23</v>
      </c>
      <c r="AJ5" s="10" t="s">
        <v>68</v>
      </c>
      <c r="AK5" s="10" t="s">
        <v>69</v>
      </c>
      <c r="AL5" s="10" t="s">
        <v>26</v>
      </c>
      <c r="AM5" s="10" t="s">
        <v>27</v>
      </c>
    </row>
    <row r="6" customFormat="false" ht="15" hidden="false" customHeight="false" outlineLevel="0" collapsed="false">
      <c r="B6" s="37" t="n">
        <f aca="false">IF($C$3="","",$C$3+0)</f>
        <v>46251</v>
      </c>
      <c r="C6" s="38" t="str">
        <f aca="false">IF($B6="","",IF($B6-$C$3+1&gt;28,"Closeout","Week "&amp;ROUNDUP(($B6-$C$3+1)/7,0)))</f>
        <v>Week 1</v>
      </c>
      <c r="D6" s="39"/>
      <c r="E6" s="39"/>
      <c r="F6" s="39"/>
      <c r="G6" s="39"/>
      <c r="H6" s="40"/>
      <c r="I6" s="41"/>
      <c r="J6" s="41"/>
      <c r="K6" s="41"/>
      <c r="L6" s="41"/>
      <c r="M6" s="41"/>
      <c r="N6" s="41"/>
      <c r="O6" s="41"/>
      <c r="P6" s="41"/>
      <c r="Q6" s="40"/>
      <c r="R6" s="40"/>
      <c r="S6" s="40"/>
      <c r="T6" s="42" t="n">
        <f aca="false">IF($E$3="","",$E$3)</f>
        <v>0.1</v>
      </c>
      <c r="U6" s="40"/>
      <c r="V6" s="43"/>
      <c r="W6" s="43"/>
      <c r="X6" s="43"/>
      <c r="Y6" s="39"/>
      <c r="Z6" s="42" t="str">
        <f aca="false">IF(N($I6)=0,"",IFERROR($J6/$I6,""))</f>
        <v/>
      </c>
      <c r="AA6" s="44" t="str">
        <f aca="false">IF(N($J6)=0,"",IFERROR($H6/$J6,""))</f>
        <v/>
      </c>
      <c r="AB6" s="42" t="str">
        <f aca="false">IF(N($J6)=0,"",IFERROR($K6/$J6,""))</f>
        <v/>
      </c>
      <c r="AC6" s="42" t="str">
        <f aca="false">IF(N($K6)=0,"",IFERROR($L6/$K6,""))</f>
        <v/>
      </c>
      <c r="AD6" s="42" t="str">
        <f aca="false">IF(N($L6)=0,"",IFERROR($M6/$L6,""))</f>
        <v/>
      </c>
      <c r="AE6" s="42" t="str">
        <f aca="false">IF(N($M6)=0,"",IFERROR($N6/$M6,""))</f>
        <v/>
      </c>
      <c r="AF6" s="42" t="str">
        <f aca="false">IF(N($N6)=0,"",IFERROR($P6/$N6,""))</f>
        <v/>
      </c>
      <c r="AG6" s="44" t="str">
        <f aca="false">IF(N($P6)=0,"",IFERROR($S6/$P6,""))</f>
        <v/>
      </c>
      <c r="AH6" s="44" t="str">
        <f aca="false">IF($S6="","",$S6*N($T6))</f>
        <v/>
      </c>
      <c r="AI6" s="44" t="str">
        <f aca="false">IF(N($P6)=0,"",IFERROR($H6/$P6,""))</f>
        <v/>
      </c>
      <c r="AJ6" s="44" t="str">
        <f aca="false">IF($AG6="","",$AG6*N($T6))</f>
        <v/>
      </c>
      <c r="AK6" s="45" t="str">
        <f aca="false">IF(N($H6)=0,"",IFERROR($S6/$H6,""))</f>
        <v/>
      </c>
      <c r="AL6" s="44" t="str">
        <f aca="false">IF(AND($H6="",$S6=""),"",N($AH6)-N($H6)-N($U6))</f>
        <v/>
      </c>
      <c r="AM6" s="44" t="str">
        <f aca="false">IF($AL6="","",MAX(0,$AL6))</f>
        <v/>
      </c>
    </row>
    <row r="7" customFormat="false" ht="15" hidden="false" customHeight="false" outlineLevel="0" collapsed="false">
      <c r="B7" s="46" t="n">
        <f aca="false">IF($C$3="","",$C$3+1)</f>
        <v>46252</v>
      </c>
      <c r="C7" s="47" t="str">
        <f aca="false">IF($B7="","",IF($B7-$C$3+1&gt;28,"Closeout","Week "&amp;ROUNDUP(($B7-$C$3+1)/7,0)))</f>
        <v>Week 1</v>
      </c>
      <c r="D7" s="48"/>
      <c r="E7" s="48"/>
      <c r="F7" s="48"/>
      <c r="G7" s="48"/>
      <c r="H7" s="49"/>
      <c r="I7" s="50"/>
      <c r="J7" s="50"/>
      <c r="K7" s="50"/>
      <c r="L7" s="50"/>
      <c r="M7" s="50"/>
      <c r="N7" s="50"/>
      <c r="O7" s="50"/>
      <c r="P7" s="50"/>
      <c r="Q7" s="49"/>
      <c r="R7" s="49"/>
      <c r="S7" s="49"/>
      <c r="T7" s="51" t="n">
        <f aca="false">IF($E$3="","",$E$3)</f>
        <v>0.1</v>
      </c>
      <c r="U7" s="49"/>
      <c r="V7" s="52"/>
      <c r="W7" s="52"/>
      <c r="X7" s="52"/>
      <c r="Y7" s="48"/>
      <c r="Z7" s="51" t="str">
        <f aca="false">IF(N($I7)=0,"",IFERROR($J7/$I7,""))</f>
        <v/>
      </c>
      <c r="AA7" s="53" t="str">
        <f aca="false">IF(N($J7)=0,"",IFERROR($H7/$J7,""))</f>
        <v/>
      </c>
      <c r="AB7" s="51" t="str">
        <f aca="false">IF(N($J7)=0,"",IFERROR($K7/$J7,""))</f>
        <v/>
      </c>
      <c r="AC7" s="51" t="str">
        <f aca="false">IF(N($K7)=0,"",IFERROR($L7/$K7,""))</f>
        <v/>
      </c>
      <c r="AD7" s="51" t="str">
        <f aca="false">IF(N($L7)=0,"",IFERROR($M7/$L7,""))</f>
        <v/>
      </c>
      <c r="AE7" s="51" t="str">
        <f aca="false">IF(N($M7)=0,"",IFERROR($N7/$M7,""))</f>
        <v/>
      </c>
      <c r="AF7" s="51" t="str">
        <f aca="false">IF(N($N7)=0,"",IFERROR($P7/$N7,""))</f>
        <v/>
      </c>
      <c r="AG7" s="53" t="str">
        <f aca="false">IF(N($P7)=0,"",IFERROR($S7/$P7,""))</f>
        <v/>
      </c>
      <c r="AH7" s="53" t="str">
        <f aca="false">IF($S7="","",$S7*N($T7))</f>
        <v/>
      </c>
      <c r="AI7" s="53" t="str">
        <f aca="false">IF(N($P7)=0,"",IFERROR($H7/$P7,""))</f>
        <v/>
      </c>
      <c r="AJ7" s="53" t="str">
        <f aca="false">IF($AG7="","",$AG7*N($T7))</f>
        <v/>
      </c>
      <c r="AK7" s="54" t="str">
        <f aca="false">IF(N($H7)=0,"",IFERROR($S7/$H7,""))</f>
        <v/>
      </c>
      <c r="AL7" s="53" t="str">
        <f aca="false">IF(AND($H7="",$S7=""),"",N($AH7)-N($H7)-N($U7))</f>
        <v/>
      </c>
      <c r="AM7" s="53" t="str">
        <f aca="false">IF($AL7="","",MAX(0,$AL7))</f>
        <v/>
      </c>
    </row>
    <row r="8" customFormat="false" ht="15" hidden="false" customHeight="false" outlineLevel="0" collapsed="false">
      <c r="B8" s="37" t="n">
        <f aca="false">IF($C$3="","",$C$3+2)</f>
        <v>46253</v>
      </c>
      <c r="C8" s="38" t="str">
        <f aca="false">IF($B8="","",IF($B8-$C$3+1&gt;28,"Closeout","Week "&amp;ROUNDUP(($B8-$C$3+1)/7,0)))</f>
        <v>Week 1</v>
      </c>
      <c r="D8" s="39"/>
      <c r="E8" s="39"/>
      <c r="F8" s="39"/>
      <c r="G8" s="39"/>
      <c r="H8" s="40"/>
      <c r="I8" s="41"/>
      <c r="J8" s="41"/>
      <c r="K8" s="41"/>
      <c r="L8" s="41"/>
      <c r="M8" s="41"/>
      <c r="N8" s="41"/>
      <c r="O8" s="41"/>
      <c r="P8" s="41"/>
      <c r="Q8" s="40"/>
      <c r="R8" s="40"/>
      <c r="S8" s="40"/>
      <c r="T8" s="42" t="n">
        <f aca="false">IF($E$3="","",$E$3)</f>
        <v>0.1</v>
      </c>
      <c r="U8" s="40"/>
      <c r="V8" s="43"/>
      <c r="W8" s="43"/>
      <c r="X8" s="43"/>
      <c r="Y8" s="39"/>
      <c r="Z8" s="42" t="str">
        <f aca="false">IF(N($I8)=0,"",IFERROR($J8/$I8,""))</f>
        <v/>
      </c>
      <c r="AA8" s="44" t="str">
        <f aca="false">IF(N($J8)=0,"",IFERROR($H8/$J8,""))</f>
        <v/>
      </c>
      <c r="AB8" s="42" t="str">
        <f aca="false">IF(N($J8)=0,"",IFERROR($K8/$J8,""))</f>
        <v/>
      </c>
      <c r="AC8" s="42" t="str">
        <f aca="false">IF(N($K8)=0,"",IFERROR($L8/$K8,""))</f>
        <v/>
      </c>
      <c r="AD8" s="42" t="str">
        <f aca="false">IF(N($L8)=0,"",IFERROR($M8/$L8,""))</f>
        <v/>
      </c>
      <c r="AE8" s="42" t="str">
        <f aca="false">IF(N($M8)=0,"",IFERROR($N8/$M8,""))</f>
        <v/>
      </c>
      <c r="AF8" s="42" t="str">
        <f aca="false">IF(N($N8)=0,"",IFERROR($P8/$N8,""))</f>
        <v/>
      </c>
      <c r="AG8" s="44" t="str">
        <f aca="false">IF(N($P8)=0,"",IFERROR($S8/$P8,""))</f>
        <v/>
      </c>
      <c r="AH8" s="44" t="str">
        <f aca="false">IF($S8="","",$S8*N($T8))</f>
        <v/>
      </c>
      <c r="AI8" s="44" t="str">
        <f aca="false">IF(N($P8)=0,"",IFERROR($H8/$P8,""))</f>
        <v/>
      </c>
      <c r="AJ8" s="44" t="str">
        <f aca="false">IF($AG8="","",$AG8*N($T8))</f>
        <v/>
      </c>
      <c r="AK8" s="45" t="str">
        <f aca="false">IF(N($H8)=0,"",IFERROR($S8/$H8,""))</f>
        <v/>
      </c>
      <c r="AL8" s="44" t="str">
        <f aca="false">IF(AND($H8="",$S8=""),"",N($AH8)-N($H8)-N($U8))</f>
        <v/>
      </c>
      <c r="AM8" s="44" t="str">
        <f aca="false">IF($AL8="","",MAX(0,$AL8))</f>
        <v/>
      </c>
    </row>
    <row r="9" customFormat="false" ht="15" hidden="false" customHeight="false" outlineLevel="0" collapsed="false">
      <c r="B9" s="46" t="n">
        <f aca="false">IF($C$3="","",$C$3+3)</f>
        <v>46254</v>
      </c>
      <c r="C9" s="47" t="str">
        <f aca="false">IF($B9="","",IF($B9-$C$3+1&gt;28,"Closeout","Week "&amp;ROUNDUP(($B9-$C$3+1)/7,0)))</f>
        <v>Week 1</v>
      </c>
      <c r="D9" s="48"/>
      <c r="E9" s="48"/>
      <c r="F9" s="48"/>
      <c r="G9" s="48"/>
      <c r="H9" s="49"/>
      <c r="I9" s="50"/>
      <c r="J9" s="50"/>
      <c r="K9" s="50"/>
      <c r="L9" s="50"/>
      <c r="M9" s="50"/>
      <c r="N9" s="50"/>
      <c r="O9" s="50"/>
      <c r="P9" s="50"/>
      <c r="Q9" s="49"/>
      <c r="R9" s="49"/>
      <c r="S9" s="49"/>
      <c r="T9" s="51" t="n">
        <f aca="false">IF($E$3="","",$E$3)</f>
        <v>0.1</v>
      </c>
      <c r="U9" s="49"/>
      <c r="V9" s="52"/>
      <c r="W9" s="52"/>
      <c r="X9" s="52"/>
      <c r="Y9" s="48"/>
      <c r="Z9" s="51" t="str">
        <f aca="false">IF(N($I9)=0,"",IFERROR($J9/$I9,""))</f>
        <v/>
      </c>
      <c r="AA9" s="53" t="str">
        <f aca="false">IF(N($J9)=0,"",IFERROR($H9/$J9,""))</f>
        <v/>
      </c>
      <c r="AB9" s="51" t="str">
        <f aca="false">IF(N($J9)=0,"",IFERROR($K9/$J9,""))</f>
        <v/>
      </c>
      <c r="AC9" s="51" t="str">
        <f aca="false">IF(N($K9)=0,"",IFERROR($L9/$K9,""))</f>
        <v/>
      </c>
      <c r="AD9" s="51" t="str">
        <f aca="false">IF(N($L9)=0,"",IFERROR($M9/$L9,""))</f>
        <v/>
      </c>
      <c r="AE9" s="51" t="str">
        <f aca="false">IF(N($M9)=0,"",IFERROR($N9/$M9,""))</f>
        <v/>
      </c>
      <c r="AF9" s="51" t="str">
        <f aca="false">IF(N($N9)=0,"",IFERROR($P9/$N9,""))</f>
        <v/>
      </c>
      <c r="AG9" s="53" t="str">
        <f aca="false">IF(N($P9)=0,"",IFERROR($S9/$P9,""))</f>
        <v/>
      </c>
      <c r="AH9" s="53" t="str">
        <f aca="false">IF($S9="","",$S9*N($T9))</f>
        <v/>
      </c>
      <c r="AI9" s="53" t="str">
        <f aca="false">IF(N($P9)=0,"",IFERROR($H9/$P9,""))</f>
        <v/>
      </c>
      <c r="AJ9" s="53" t="str">
        <f aca="false">IF($AG9="","",$AG9*N($T9))</f>
        <v/>
      </c>
      <c r="AK9" s="54" t="str">
        <f aca="false">IF(N($H9)=0,"",IFERROR($S9/$H9,""))</f>
        <v/>
      </c>
      <c r="AL9" s="53" t="str">
        <f aca="false">IF(AND($H9="",$S9=""),"",N($AH9)-N($H9)-N($U9))</f>
        <v/>
      </c>
      <c r="AM9" s="53" t="str">
        <f aca="false">IF($AL9="","",MAX(0,$AL9))</f>
        <v/>
      </c>
    </row>
    <row r="10" customFormat="false" ht="15" hidden="false" customHeight="false" outlineLevel="0" collapsed="false">
      <c r="B10" s="37" t="n">
        <f aca="false">IF($C$3="","",$C$3+4)</f>
        <v>46255</v>
      </c>
      <c r="C10" s="38" t="str">
        <f aca="false">IF($B10="","",IF($B10-$C$3+1&gt;28,"Closeout","Week "&amp;ROUNDUP(($B10-$C$3+1)/7,0)))</f>
        <v>Week 1</v>
      </c>
      <c r="D10" s="39"/>
      <c r="E10" s="39"/>
      <c r="F10" s="39"/>
      <c r="G10" s="39"/>
      <c r="H10" s="40"/>
      <c r="I10" s="41"/>
      <c r="J10" s="41"/>
      <c r="K10" s="41"/>
      <c r="L10" s="41"/>
      <c r="M10" s="41"/>
      <c r="N10" s="41"/>
      <c r="O10" s="41"/>
      <c r="P10" s="41"/>
      <c r="Q10" s="40"/>
      <c r="R10" s="40"/>
      <c r="S10" s="40"/>
      <c r="T10" s="42" t="n">
        <f aca="false">IF($E$3="","",$E$3)</f>
        <v>0.1</v>
      </c>
      <c r="U10" s="40"/>
      <c r="V10" s="43"/>
      <c r="W10" s="43"/>
      <c r="X10" s="43"/>
      <c r="Y10" s="39"/>
      <c r="Z10" s="42" t="str">
        <f aca="false">IF(N($I10)=0,"",IFERROR($J10/$I10,""))</f>
        <v/>
      </c>
      <c r="AA10" s="44" t="str">
        <f aca="false">IF(N($J10)=0,"",IFERROR($H10/$J10,""))</f>
        <v/>
      </c>
      <c r="AB10" s="42" t="str">
        <f aca="false">IF(N($J10)=0,"",IFERROR($K10/$J10,""))</f>
        <v/>
      </c>
      <c r="AC10" s="42" t="str">
        <f aca="false">IF(N($K10)=0,"",IFERROR($L10/$K10,""))</f>
        <v/>
      </c>
      <c r="AD10" s="42" t="str">
        <f aca="false">IF(N($L10)=0,"",IFERROR($M10/$L10,""))</f>
        <v/>
      </c>
      <c r="AE10" s="42" t="str">
        <f aca="false">IF(N($M10)=0,"",IFERROR($N10/$M10,""))</f>
        <v/>
      </c>
      <c r="AF10" s="42" t="str">
        <f aca="false">IF(N($N10)=0,"",IFERROR($P10/$N10,""))</f>
        <v/>
      </c>
      <c r="AG10" s="44" t="str">
        <f aca="false">IF(N($P10)=0,"",IFERROR($S10/$P10,""))</f>
        <v/>
      </c>
      <c r="AH10" s="44" t="str">
        <f aca="false">IF($S10="","",$S10*N($T10))</f>
        <v/>
      </c>
      <c r="AI10" s="44" t="str">
        <f aca="false">IF(N($P10)=0,"",IFERROR($H10/$P10,""))</f>
        <v/>
      </c>
      <c r="AJ10" s="44" t="str">
        <f aca="false">IF($AG10="","",$AG10*N($T10))</f>
        <v/>
      </c>
      <c r="AK10" s="45" t="str">
        <f aca="false">IF(N($H10)=0,"",IFERROR($S10/$H10,""))</f>
        <v/>
      </c>
      <c r="AL10" s="44" t="str">
        <f aca="false">IF(AND($H10="",$S10=""),"",N($AH10)-N($H10)-N($U10))</f>
        <v/>
      </c>
      <c r="AM10" s="44" t="str">
        <f aca="false">IF($AL10="","",MAX(0,$AL10))</f>
        <v/>
      </c>
    </row>
    <row r="11" customFormat="false" ht="15" hidden="false" customHeight="false" outlineLevel="0" collapsed="false">
      <c r="B11" s="46" t="n">
        <f aca="false">IF($C$3="","",$C$3+5)</f>
        <v>46256</v>
      </c>
      <c r="C11" s="47" t="str">
        <f aca="false">IF($B11="","",IF($B11-$C$3+1&gt;28,"Closeout","Week "&amp;ROUNDUP(($B11-$C$3+1)/7,0)))</f>
        <v>Week 1</v>
      </c>
      <c r="D11" s="48"/>
      <c r="E11" s="48"/>
      <c r="F11" s="48"/>
      <c r="G11" s="48"/>
      <c r="H11" s="49"/>
      <c r="I11" s="50"/>
      <c r="J11" s="50"/>
      <c r="K11" s="50"/>
      <c r="L11" s="50"/>
      <c r="M11" s="50"/>
      <c r="N11" s="50"/>
      <c r="O11" s="50"/>
      <c r="P11" s="50"/>
      <c r="Q11" s="49"/>
      <c r="R11" s="49"/>
      <c r="S11" s="49"/>
      <c r="T11" s="51" t="n">
        <f aca="false">IF($E$3="","",$E$3)</f>
        <v>0.1</v>
      </c>
      <c r="U11" s="49"/>
      <c r="V11" s="52"/>
      <c r="W11" s="52"/>
      <c r="X11" s="52"/>
      <c r="Y11" s="48"/>
      <c r="Z11" s="51" t="str">
        <f aca="false">IF(N($I11)=0,"",IFERROR($J11/$I11,""))</f>
        <v/>
      </c>
      <c r="AA11" s="53" t="str">
        <f aca="false">IF(N($J11)=0,"",IFERROR($H11/$J11,""))</f>
        <v/>
      </c>
      <c r="AB11" s="51" t="str">
        <f aca="false">IF(N($J11)=0,"",IFERROR($K11/$J11,""))</f>
        <v/>
      </c>
      <c r="AC11" s="51" t="str">
        <f aca="false">IF(N($K11)=0,"",IFERROR($L11/$K11,""))</f>
        <v/>
      </c>
      <c r="AD11" s="51" t="str">
        <f aca="false">IF(N($L11)=0,"",IFERROR($M11/$L11,""))</f>
        <v/>
      </c>
      <c r="AE11" s="51" t="str">
        <f aca="false">IF(N($M11)=0,"",IFERROR($N11/$M11,""))</f>
        <v/>
      </c>
      <c r="AF11" s="51" t="str">
        <f aca="false">IF(N($N11)=0,"",IFERROR($P11/$N11,""))</f>
        <v/>
      </c>
      <c r="AG11" s="53" t="str">
        <f aca="false">IF(N($P11)=0,"",IFERROR($S11/$P11,""))</f>
        <v/>
      </c>
      <c r="AH11" s="53" t="str">
        <f aca="false">IF($S11="","",$S11*N($T11))</f>
        <v/>
      </c>
      <c r="AI11" s="53" t="str">
        <f aca="false">IF(N($P11)=0,"",IFERROR($H11/$P11,""))</f>
        <v/>
      </c>
      <c r="AJ11" s="53" t="str">
        <f aca="false">IF($AG11="","",$AG11*N($T11))</f>
        <v/>
      </c>
      <c r="AK11" s="54" t="str">
        <f aca="false">IF(N($H11)=0,"",IFERROR($S11/$H11,""))</f>
        <v/>
      </c>
      <c r="AL11" s="53" t="str">
        <f aca="false">IF(AND($H11="",$S11=""),"",N($AH11)-N($H11)-N($U11))</f>
        <v/>
      </c>
      <c r="AM11" s="53" t="str">
        <f aca="false">IF($AL11="","",MAX(0,$AL11))</f>
        <v/>
      </c>
    </row>
    <row r="12" customFormat="false" ht="15" hidden="false" customHeight="false" outlineLevel="0" collapsed="false">
      <c r="B12" s="37" t="n">
        <f aca="false">IF($C$3="","",$C$3+6)</f>
        <v>46257</v>
      </c>
      <c r="C12" s="38" t="str">
        <f aca="false">IF($B12="","",IF($B12-$C$3+1&gt;28,"Closeout","Week "&amp;ROUNDUP(($B12-$C$3+1)/7,0)))</f>
        <v>Week 1</v>
      </c>
      <c r="D12" s="39"/>
      <c r="E12" s="39"/>
      <c r="F12" s="39"/>
      <c r="G12" s="39"/>
      <c r="H12" s="40"/>
      <c r="I12" s="41"/>
      <c r="J12" s="41"/>
      <c r="K12" s="41"/>
      <c r="L12" s="41"/>
      <c r="M12" s="41"/>
      <c r="N12" s="41"/>
      <c r="O12" s="41"/>
      <c r="P12" s="41"/>
      <c r="Q12" s="40"/>
      <c r="R12" s="40"/>
      <c r="S12" s="40"/>
      <c r="T12" s="42" t="n">
        <f aca="false">IF($E$3="","",$E$3)</f>
        <v>0.1</v>
      </c>
      <c r="U12" s="40"/>
      <c r="V12" s="43"/>
      <c r="W12" s="43"/>
      <c r="X12" s="43"/>
      <c r="Y12" s="39"/>
      <c r="Z12" s="42" t="str">
        <f aca="false">IF(N($I12)=0,"",IFERROR($J12/$I12,""))</f>
        <v/>
      </c>
      <c r="AA12" s="44" t="str">
        <f aca="false">IF(N($J12)=0,"",IFERROR($H12/$J12,""))</f>
        <v/>
      </c>
      <c r="AB12" s="42" t="str">
        <f aca="false">IF(N($J12)=0,"",IFERROR($K12/$J12,""))</f>
        <v/>
      </c>
      <c r="AC12" s="42" t="str">
        <f aca="false">IF(N($K12)=0,"",IFERROR($L12/$K12,""))</f>
        <v/>
      </c>
      <c r="AD12" s="42" t="str">
        <f aca="false">IF(N($L12)=0,"",IFERROR($M12/$L12,""))</f>
        <v/>
      </c>
      <c r="AE12" s="42" t="str">
        <f aca="false">IF(N($M12)=0,"",IFERROR($N12/$M12,""))</f>
        <v/>
      </c>
      <c r="AF12" s="42" t="str">
        <f aca="false">IF(N($N12)=0,"",IFERROR($P12/$N12,""))</f>
        <v/>
      </c>
      <c r="AG12" s="44" t="str">
        <f aca="false">IF(N($P12)=0,"",IFERROR($S12/$P12,""))</f>
        <v/>
      </c>
      <c r="AH12" s="44" t="str">
        <f aca="false">IF($S12="","",$S12*N($T12))</f>
        <v/>
      </c>
      <c r="AI12" s="44" t="str">
        <f aca="false">IF(N($P12)=0,"",IFERROR($H12/$P12,""))</f>
        <v/>
      </c>
      <c r="AJ12" s="44" t="str">
        <f aca="false">IF($AG12="","",$AG12*N($T12))</f>
        <v/>
      </c>
      <c r="AK12" s="45" t="str">
        <f aca="false">IF(N($H12)=0,"",IFERROR($S12/$H12,""))</f>
        <v/>
      </c>
      <c r="AL12" s="44" t="str">
        <f aca="false">IF(AND($H12="",$S12=""),"",N($AH12)-N($H12)-N($U12))</f>
        <v/>
      </c>
      <c r="AM12" s="44" t="str">
        <f aca="false">IF($AL12="","",MAX(0,$AL12))</f>
        <v/>
      </c>
    </row>
    <row r="13" customFormat="false" ht="15" hidden="false" customHeight="false" outlineLevel="0" collapsed="false">
      <c r="B13" s="46" t="n">
        <f aca="false">IF($C$3="","",$C$3+7)</f>
        <v>46258</v>
      </c>
      <c r="C13" s="47" t="str">
        <f aca="false">IF($B13="","",IF($B13-$C$3+1&gt;28,"Closeout","Week "&amp;ROUNDUP(($B13-$C$3+1)/7,0)))</f>
        <v>Week 2</v>
      </c>
      <c r="D13" s="48"/>
      <c r="E13" s="48"/>
      <c r="F13" s="48"/>
      <c r="G13" s="48"/>
      <c r="H13" s="49"/>
      <c r="I13" s="50"/>
      <c r="J13" s="50"/>
      <c r="K13" s="50"/>
      <c r="L13" s="50"/>
      <c r="M13" s="50"/>
      <c r="N13" s="50"/>
      <c r="O13" s="50"/>
      <c r="P13" s="50"/>
      <c r="Q13" s="49"/>
      <c r="R13" s="49"/>
      <c r="S13" s="49"/>
      <c r="T13" s="51" t="n">
        <f aca="false">IF($E$3="","",$E$3)</f>
        <v>0.1</v>
      </c>
      <c r="U13" s="49"/>
      <c r="V13" s="52"/>
      <c r="W13" s="52"/>
      <c r="X13" s="52"/>
      <c r="Y13" s="48"/>
      <c r="Z13" s="51" t="str">
        <f aca="false">IF(N($I13)=0,"",IFERROR($J13/$I13,""))</f>
        <v/>
      </c>
      <c r="AA13" s="53" t="str">
        <f aca="false">IF(N($J13)=0,"",IFERROR($H13/$J13,""))</f>
        <v/>
      </c>
      <c r="AB13" s="51" t="str">
        <f aca="false">IF(N($J13)=0,"",IFERROR($K13/$J13,""))</f>
        <v/>
      </c>
      <c r="AC13" s="51" t="str">
        <f aca="false">IF(N($K13)=0,"",IFERROR($L13/$K13,""))</f>
        <v/>
      </c>
      <c r="AD13" s="51" t="str">
        <f aca="false">IF(N($L13)=0,"",IFERROR($M13/$L13,""))</f>
        <v/>
      </c>
      <c r="AE13" s="51" t="str">
        <f aca="false">IF(N($M13)=0,"",IFERROR($N13/$M13,""))</f>
        <v/>
      </c>
      <c r="AF13" s="51" t="str">
        <f aca="false">IF(N($N13)=0,"",IFERROR($P13/$N13,""))</f>
        <v/>
      </c>
      <c r="AG13" s="53" t="str">
        <f aca="false">IF(N($P13)=0,"",IFERROR($S13/$P13,""))</f>
        <v/>
      </c>
      <c r="AH13" s="53" t="str">
        <f aca="false">IF($S13="","",$S13*N($T13))</f>
        <v/>
      </c>
      <c r="AI13" s="53" t="str">
        <f aca="false">IF(N($P13)=0,"",IFERROR($H13/$P13,""))</f>
        <v/>
      </c>
      <c r="AJ13" s="53" t="str">
        <f aca="false">IF($AG13="","",$AG13*N($T13))</f>
        <v/>
      </c>
      <c r="AK13" s="54" t="str">
        <f aca="false">IF(N($H13)=0,"",IFERROR($S13/$H13,""))</f>
        <v/>
      </c>
      <c r="AL13" s="53" t="str">
        <f aca="false">IF(AND($H13="",$S13=""),"",N($AH13)-N($H13)-N($U13))</f>
        <v/>
      </c>
      <c r="AM13" s="53" t="str">
        <f aca="false">IF($AL13="","",MAX(0,$AL13))</f>
        <v/>
      </c>
    </row>
    <row r="14" customFormat="false" ht="15" hidden="false" customHeight="false" outlineLevel="0" collapsed="false">
      <c r="B14" s="37" t="n">
        <f aca="false">IF($C$3="","",$C$3+8)</f>
        <v>46259</v>
      </c>
      <c r="C14" s="38" t="str">
        <f aca="false">IF($B14="","",IF($B14-$C$3+1&gt;28,"Closeout","Week "&amp;ROUNDUP(($B14-$C$3+1)/7,0)))</f>
        <v>Week 2</v>
      </c>
      <c r="D14" s="39"/>
      <c r="E14" s="39"/>
      <c r="F14" s="39"/>
      <c r="G14" s="39"/>
      <c r="H14" s="40"/>
      <c r="I14" s="41"/>
      <c r="J14" s="41"/>
      <c r="K14" s="41"/>
      <c r="L14" s="41"/>
      <c r="M14" s="41"/>
      <c r="N14" s="41"/>
      <c r="O14" s="41"/>
      <c r="P14" s="41"/>
      <c r="Q14" s="40"/>
      <c r="R14" s="40"/>
      <c r="S14" s="40"/>
      <c r="T14" s="42" t="n">
        <f aca="false">IF($E$3="","",$E$3)</f>
        <v>0.1</v>
      </c>
      <c r="U14" s="40"/>
      <c r="V14" s="43"/>
      <c r="W14" s="43"/>
      <c r="X14" s="43"/>
      <c r="Y14" s="39"/>
      <c r="Z14" s="42" t="str">
        <f aca="false">IF(N($I14)=0,"",IFERROR($J14/$I14,""))</f>
        <v/>
      </c>
      <c r="AA14" s="44" t="str">
        <f aca="false">IF(N($J14)=0,"",IFERROR($H14/$J14,""))</f>
        <v/>
      </c>
      <c r="AB14" s="42" t="str">
        <f aca="false">IF(N($J14)=0,"",IFERROR($K14/$J14,""))</f>
        <v/>
      </c>
      <c r="AC14" s="42" t="str">
        <f aca="false">IF(N($K14)=0,"",IFERROR($L14/$K14,""))</f>
        <v/>
      </c>
      <c r="AD14" s="42" t="str">
        <f aca="false">IF(N($L14)=0,"",IFERROR($M14/$L14,""))</f>
        <v/>
      </c>
      <c r="AE14" s="42" t="str">
        <f aca="false">IF(N($M14)=0,"",IFERROR($N14/$M14,""))</f>
        <v/>
      </c>
      <c r="AF14" s="42" t="str">
        <f aca="false">IF(N($N14)=0,"",IFERROR($P14/$N14,""))</f>
        <v/>
      </c>
      <c r="AG14" s="44" t="str">
        <f aca="false">IF(N($P14)=0,"",IFERROR($S14/$P14,""))</f>
        <v/>
      </c>
      <c r="AH14" s="44" t="str">
        <f aca="false">IF($S14="","",$S14*N($T14))</f>
        <v/>
      </c>
      <c r="AI14" s="44" t="str">
        <f aca="false">IF(N($P14)=0,"",IFERROR($H14/$P14,""))</f>
        <v/>
      </c>
      <c r="AJ14" s="44" t="str">
        <f aca="false">IF($AG14="","",$AG14*N($T14))</f>
        <v/>
      </c>
      <c r="AK14" s="45" t="str">
        <f aca="false">IF(N($H14)=0,"",IFERROR($S14/$H14,""))</f>
        <v/>
      </c>
      <c r="AL14" s="44" t="str">
        <f aca="false">IF(AND($H14="",$S14=""),"",N($AH14)-N($H14)-N($U14))</f>
        <v/>
      </c>
      <c r="AM14" s="44" t="str">
        <f aca="false">IF($AL14="","",MAX(0,$AL14))</f>
        <v/>
      </c>
    </row>
    <row r="15" customFormat="false" ht="15" hidden="false" customHeight="false" outlineLevel="0" collapsed="false">
      <c r="B15" s="46" t="n">
        <f aca="false">IF($C$3="","",$C$3+9)</f>
        <v>46260</v>
      </c>
      <c r="C15" s="47" t="str">
        <f aca="false">IF($B15="","",IF($B15-$C$3+1&gt;28,"Closeout","Week "&amp;ROUNDUP(($B15-$C$3+1)/7,0)))</f>
        <v>Week 2</v>
      </c>
      <c r="D15" s="48"/>
      <c r="E15" s="48"/>
      <c r="F15" s="48"/>
      <c r="G15" s="48"/>
      <c r="H15" s="49"/>
      <c r="I15" s="50"/>
      <c r="J15" s="50"/>
      <c r="K15" s="50"/>
      <c r="L15" s="50"/>
      <c r="M15" s="50"/>
      <c r="N15" s="50"/>
      <c r="O15" s="50"/>
      <c r="P15" s="50"/>
      <c r="Q15" s="49"/>
      <c r="R15" s="49"/>
      <c r="S15" s="49"/>
      <c r="T15" s="51" t="n">
        <f aca="false">IF($E$3="","",$E$3)</f>
        <v>0.1</v>
      </c>
      <c r="U15" s="49"/>
      <c r="V15" s="52"/>
      <c r="W15" s="52"/>
      <c r="X15" s="52"/>
      <c r="Y15" s="48"/>
      <c r="Z15" s="51" t="str">
        <f aca="false">IF(N($I15)=0,"",IFERROR($J15/$I15,""))</f>
        <v/>
      </c>
      <c r="AA15" s="53" t="str">
        <f aca="false">IF(N($J15)=0,"",IFERROR($H15/$J15,""))</f>
        <v/>
      </c>
      <c r="AB15" s="51" t="str">
        <f aca="false">IF(N($J15)=0,"",IFERROR($K15/$J15,""))</f>
        <v/>
      </c>
      <c r="AC15" s="51" t="str">
        <f aca="false">IF(N($K15)=0,"",IFERROR($L15/$K15,""))</f>
        <v/>
      </c>
      <c r="AD15" s="51" t="str">
        <f aca="false">IF(N($L15)=0,"",IFERROR($M15/$L15,""))</f>
        <v/>
      </c>
      <c r="AE15" s="51" t="str">
        <f aca="false">IF(N($M15)=0,"",IFERROR($N15/$M15,""))</f>
        <v/>
      </c>
      <c r="AF15" s="51" t="str">
        <f aca="false">IF(N($N15)=0,"",IFERROR($P15/$N15,""))</f>
        <v/>
      </c>
      <c r="AG15" s="53" t="str">
        <f aca="false">IF(N($P15)=0,"",IFERROR($S15/$P15,""))</f>
        <v/>
      </c>
      <c r="AH15" s="53" t="str">
        <f aca="false">IF($S15="","",$S15*N($T15))</f>
        <v/>
      </c>
      <c r="AI15" s="53" t="str">
        <f aca="false">IF(N($P15)=0,"",IFERROR($H15/$P15,""))</f>
        <v/>
      </c>
      <c r="AJ15" s="53" t="str">
        <f aca="false">IF($AG15="","",$AG15*N($T15))</f>
        <v/>
      </c>
      <c r="AK15" s="54" t="str">
        <f aca="false">IF(N($H15)=0,"",IFERROR($S15/$H15,""))</f>
        <v/>
      </c>
      <c r="AL15" s="53" t="str">
        <f aca="false">IF(AND($H15="",$S15=""),"",N($AH15)-N($H15)-N($U15))</f>
        <v/>
      </c>
      <c r="AM15" s="53" t="str">
        <f aca="false">IF($AL15="","",MAX(0,$AL15))</f>
        <v/>
      </c>
    </row>
    <row r="16" customFormat="false" ht="15" hidden="false" customHeight="false" outlineLevel="0" collapsed="false">
      <c r="B16" s="37" t="n">
        <f aca="false">IF($C$3="","",$C$3+10)</f>
        <v>46261</v>
      </c>
      <c r="C16" s="38" t="str">
        <f aca="false">IF($B16="","",IF($B16-$C$3+1&gt;28,"Closeout","Week "&amp;ROUNDUP(($B16-$C$3+1)/7,0)))</f>
        <v>Week 2</v>
      </c>
      <c r="D16" s="39"/>
      <c r="E16" s="39"/>
      <c r="F16" s="39"/>
      <c r="G16" s="39"/>
      <c r="H16" s="40"/>
      <c r="I16" s="41"/>
      <c r="J16" s="41"/>
      <c r="K16" s="41"/>
      <c r="L16" s="41"/>
      <c r="M16" s="41"/>
      <c r="N16" s="41"/>
      <c r="O16" s="41"/>
      <c r="P16" s="41"/>
      <c r="Q16" s="40"/>
      <c r="R16" s="40"/>
      <c r="S16" s="40"/>
      <c r="T16" s="42" t="n">
        <f aca="false">IF($E$3="","",$E$3)</f>
        <v>0.1</v>
      </c>
      <c r="U16" s="40"/>
      <c r="V16" s="43"/>
      <c r="W16" s="43"/>
      <c r="X16" s="43"/>
      <c r="Y16" s="39"/>
      <c r="Z16" s="42" t="str">
        <f aca="false">IF(N($I16)=0,"",IFERROR($J16/$I16,""))</f>
        <v/>
      </c>
      <c r="AA16" s="44" t="str">
        <f aca="false">IF(N($J16)=0,"",IFERROR($H16/$J16,""))</f>
        <v/>
      </c>
      <c r="AB16" s="42" t="str">
        <f aca="false">IF(N($J16)=0,"",IFERROR($K16/$J16,""))</f>
        <v/>
      </c>
      <c r="AC16" s="42" t="str">
        <f aca="false">IF(N($K16)=0,"",IFERROR($L16/$K16,""))</f>
        <v/>
      </c>
      <c r="AD16" s="42" t="str">
        <f aca="false">IF(N($L16)=0,"",IFERROR($M16/$L16,""))</f>
        <v/>
      </c>
      <c r="AE16" s="42" t="str">
        <f aca="false">IF(N($M16)=0,"",IFERROR($N16/$M16,""))</f>
        <v/>
      </c>
      <c r="AF16" s="42" t="str">
        <f aca="false">IF(N($N16)=0,"",IFERROR($P16/$N16,""))</f>
        <v/>
      </c>
      <c r="AG16" s="44" t="str">
        <f aca="false">IF(N($P16)=0,"",IFERROR($S16/$P16,""))</f>
        <v/>
      </c>
      <c r="AH16" s="44" t="str">
        <f aca="false">IF($S16="","",$S16*N($T16))</f>
        <v/>
      </c>
      <c r="AI16" s="44" t="str">
        <f aca="false">IF(N($P16)=0,"",IFERROR($H16/$P16,""))</f>
        <v/>
      </c>
      <c r="AJ16" s="44" t="str">
        <f aca="false">IF($AG16="","",$AG16*N($T16))</f>
        <v/>
      </c>
      <c r="AK16" s="45" t="str">
        <f aca="false">IF(N($H16)=0,"",IFERROR($S16/$H16,""))</f>
        <v/>
      </c>
      <c r="AL16" s="44" t="str">
        <f aca="false">IF(AND($H16="",$S16=""),"",N($AH16)-N($H16)-N($U16))</f>
        <v/>
      </c>
      <c r="AM16" s="44" t="str">
        <f aca="false">IF($AL16="","",MAX(0,$AL16))</f>
        <v/>
      </c>
    </row>
    <row r="17" customFormat="false" ht="15" hidden="false" customHeight="false" outlineLevel="0" collapsed="false">
      <c r="B17" s="46" t="n">
        <f aca="false">IF($C$3="","",$C$3+11)</f>
        <v>46262</v>
      </c>
      <c r="C17" s="47" t="str">
        <f aca="false">IF($B17="","",IF($B17-$C$3+1&gt;28,"Closeout","Week "&amp;ROUNDUP(($B17-$C$3+1)/7,0)))</f>
        <v>Week 2</v>
      </c>
      <c r="D17" s="48"/>
      <c r="E17" s="48"/>
      <c r="F17" s="48"/>
      <c r="G17" s="48"/>
      <c r="H17" s="49"/>
      <c r="I17" s="50"/>
      <c r="J17" s="50"/>
      <c r="K17" s="50"/>
      <c r="L17" s="50"/>
      <c r="M17" s="50"/>
      <c r="N17" s="50"/>
      <c r="O17" s="50"/>
      <c r="P17" s="50"/>
      <c r="Q17" s="49"/>
      <c r="R17" s="49"/>
      <c r="S17" s="49"/>
      <c r="T17" s="51" t="n">
        <f aca="false">IF($E$3="","",$E$3)</f>
        <v>0.1</v>
      </c>
      <c r="U17" s="49"/>
      <c r="V17" s="52"/>
      <c r="W17" s="52"/>
      <c r="X17" s="52"/>
      <c r="Y17" s="48"/>
      <c r="Z17" s="51" t="str">
        <f aca="false">IF(N($I17)=0,"",IFERROR($J17/$I17,""))</f>
        <v/>
      </c>
      <c r="AA17" s="53" t="str">
        <f aca="false">IF(N($J17)=0,"",IFERROR($H17/$J17,""))</f>
        <v/>
      </c>
      <c r="AB17" s="51" t="str">
        <f aca="false">IF(N($J17)=0,"",IFERROR($K17/$J17,""))</f>
        <v/>
      </c>
      <c r="AC17" s="51" t="str">
        <f aca="false">IF(N($K17)=0,"",IFERROR($L17/$K17,""))</f>
        <v/>
      </c>
      <c r="AD17" s="51" t="str">
        <f aca="false">IF(N($L17)=0,"",IFERROR($M17/$L17,""))</f>
        <v/>
      </c>
      <c r="AE17" s="51" t="str">
        <f aca="false">IF(N($M17)=0,"",IFERROR($N17/$M17,""))</f>
        <v/>
      </c>
      <c r="AF17" s="51" t="str">
        <f aca="false">IF(N($N17)=0,"",IFERROR($P17/$N17,""))</f>
        <v/>
      </c>
      <c r="AG17" s="53" t="str">
        <f aca="false">IF(N($P17)=0,"",IFERROR($S17/$P17,""))</f>
        <v/>
      </c>
      <c r="AH17" s="53" t="str">
        <f aca="false">IF($S17="","",$S17*N($T17))</f>
        <v/>
      </c>
      <c r="AI17" s="53" t="str">
        <f aca="false">IF(N($P17)=0,"",IFERROR($H17/$P17,""))</f>
        <v/>
      </c>
      <c r="AJ17" s="53" t="str">
        <f aca="false">IF($AG17="","",$AG17*N($T17))</f>
        <v/>
      </c>
      <c r="AK17" s="54" t="str">
        <f aca="false">IF(N($H17)=0,"",IFERROR($S17/$H17,""))</f>
        <v/>
      </c>
      <c r="AL17" s="53" t="str">
        <f aca="false">IF(AND($H17="",$S17=""),"",N($AH17)-N($H17)-N($U17))</f>
        <v/>
      </c>
      <c r="AM17" s="53" t="str">
        <f aca="false">IF($AL17="","",MAX(0,$AL17))</f>
        <v/>
      </c>
    </row>
    <row r="18" customFormat="false" ht="15" hidden="false" customHeight="false" outlineLevel="0" collapsed="false">
      <c r="B18" s="37" t="n">
        <f aca="false">IF($C$3="","",$C$3+12)</f>
        <v>46263</v>
      </c>
      <c r="C18" s="38" t="str">
        <f aca="false">IF($B18="","",IF($B18-$C$3+1&gt;28,"Closeout","Week "&amp;ROUNDUP(($B18-$C$3+1)/7,0)))</f>
        <v>Week 2</v>
      </c>
      <c r="D18" s="39"/>
      <c r="E18" s="39"/>
      <c r="F18" s="39"/>
      <c r="G18" s="39"/>
      <c r="H18" s="40"/>
      <c r="I18" s="41"/>
      <c r="J18" s="41"/>
      <c r="K18" s="41"/>
      <c r="L18" s="41"/>
      <c r="M18" s="41"/>
      <c r="N18" s="41"/>
      <c r="O18" s="41"/>
      <c r="P18" s="41"/>
      <c r="Q18" s="40"/>
      <c r="R18" s="40"/>
      <c r="S18" s="40"/>
      <c r="T18" s="42" t="n">
        <f aca="false">IF($E$3="","",$E$3)</f>
        <v>0.1</v>
      </c>
      <c r="U18" s="40"/>
      <c r="V18" s="43"/>
      <c r="W18" s="43"/>
      <c r="X18" s="43"/>
      <c r="Y18" s="39"/>
      <c r="Z18" s="42" t="str">
        <f aca="false">IF(N($I18)=0,"",IFERROR($J18/$I18,""))</f>
        <v/>
      </c>
      <c r="AA18" s="44" t="str">
        <f aca="false">IF(N($J18)=0,"",IFERROR($H18/$J18,""))</f>
        <v/>
      </c>
      <c r="AB18" s="42" t="str">
        <f aca="false">IF(N($J18)=0,"",IFERROR($K18/$J18,""))</f>
        <v/>
      </c>
      <c r="AC18" s="42" t="str">
        <f aca="false">IF(N($K18)=0,"",IFERROR($L18/$K18,""))</f>
        <v/>
      </c>
      <c r="AD18" s="42" t="str">
        <f aca="false">IF(N($L18)=0,"",IFERROR($M18/$L18,""))</f>
        <v/>
      </c>
      <c r="AE18" s="42" t="str">
        <f aca="false">IF(N($M18)=0,"",IFERROR($N18/$M18,""))</f>
        <v/>
      </c>
      <c r="AF18" s="42" t="str">
        <f aca="false">IF(N($N18)=0,"",IFERROR($P18/$N18,""))</f>
        <v/>
      </c>
      <c r="AG18" s="44" t="str">
        <f aca="false">IF(N($P18)=0,"",IFERROR($S18/$P18,""))</f>
        <v/>
      </c>
      <c r="AH18" s="44" t="str">
        <f aca="false">IF($S18="","",$S18*N($T18))</f>
        <v/>
      </c>
      <c r="AI18" s="44" t="str">
        <f aca="false">IF(N($P18)=0,"",IFERROR($H18/$P18,""))</f>
        <v/>
      </c>
      <c r="AJ18" s="44" t="str">
        <f aca="false">IF($AG18="","",$AG18*N($T18))</f>
        <v/>
      </c>
      <c r="AK18" s="45" t="str">
        <f aca="false">IF(N($H18)=0,"",IFERROR($S18/$H18,""))</f>
        <v/>
      </c>
      <c r="AL18" s="44" t="str">
        <f aca="false">IF(AND($H18="",$S18=""),"",N($AH18)-N($H18)-N($U18))</f>
        <v/>
      </c>
      <c r="AM18" s="44" t="str">
        <f aca="false">IF($AL18="","",MAX(0,$AL18))</f>
        <v/>
      </c>
    </row>
    <row r="19" customFormat="false" ht="15" hidden="false" customHeight="false" outlineLevel="0" collapsed="false">
      <c r="B19" s="46" t="n">
        <f aca="false">IF($C$3="","",$C$3+13)</f>
        <v>46264</v>
      </c>
      <c r="C19" s="47" t="str">
        <f aca="false">IF($B19="","",IF($B19-$C$3+1&gt;28,"Closeout","Week "&amp;ROUNDUP(($B19-$C$3+1)/7,0)))</f>
        <v>Week 2</v>
      </c>
      <c r="D19" s="48"/>
      <c r="E19" s="48"/>
      <c r="F19" s="48"/>
      <c r="G19" s="48"/>
      <c r="H19" s="49"/>
      <c r="I19" s="50"/>
      <c r="J19" s="50"/>
      <c r="K19" s="50"/>
      <c r="L19" s="50"/>
      <c r="M19" s="50"/>
      <c r="N19" s="50"/>
      <c r="O19" s="50"/>
      <c r="P19" s="50"/>
      <c r="Q19" s="49"/>
      <c r="R19" s="49"/>
      <c r="S19" s="49"/>
      <c r="T19" s="51" t="n">
        <f aca="false">IF($E$3="","",$E$3)</f>
        <v>0.1</v>
      </c>
      <c r="U19" s="49"/>
      <c r="V19" s="52"/>
      <c r="W19" s="52"/>
      <c r="X19" s="52"/>
      <c r="Y19" s="48"/>
      <c r="Z19" s="51" t="str">
        <f aca="false">IF(N($I19)=0,"",IFERROR($J19/$I19,""))</f>
        <v/>
      </c>
      <c r="AA19" s="53" t="str">
        <f aca="false">IF(N($J19)=0,"",IFERROR($H19/$J19,""))</f>
        <v/>
      </c>
      <c r="AB19" s="51" t="str">
        <f aca="false">IF(N($J19)=0,"",IFERROR($K19/$J19,""))</f>
        <v/>
      </c>
      <c r="AC19" s="51" t="str">
        <f aca="false">IF(N($K19)=0,"",IFERROR($L19/$K19,""))</f>
        <v/>
      </c>
      <c r="AD19" s="51" t="str">
        <f aca="false">IF(N($L19)=0,"",IFERROR($M19/$L19,""))</f>
        <v/>
      </c>
      <c r="AE19" s="51" t="str">
        <f aca="false">IF(N($M19)=0,"",IFERROR($N19/$M19,""))</f>
        <v/>
      </c>
      <c r="AF19" s="51" t="str">
        <f aca="false">IF(N($N19)=0,"",IFERROR($P19/$N19,""))</f>
        <v/>
      </c>
      <c r="AG19" s="53" t="str">
        <f aca="false">IF(N($P19)=0,"",IFERROR($S19/$P19,""))</f>
        <v/>
      </c>
      <c r="AH19" s="53" t="str">
        <f aca="false">IF($S19="","",$S19*N($T19))</f>
        <v/>
      </c>
      <c r="AI19" s="53" t="str">
        <f aca="false">IF(N($P19)=0,"",IFERROR($H19/$P19,""))</f>
        <v/>
      </c>
      <c r="AJ19" s="53" t="str">
        <f aca="false">IF($AG19="","",$AG19*N($T19))</f>
        <v/>
      </c>
      <c r="AK19" s="54" t="str">
        <f aca="false">IF(N($H19)=0,"",IFERROR($S19/$H19,""))</f>
        <v/>
      </c>
      <c r="AL19" s="53" t="str">
        <f aca="false">IF(AND($H19="",$S19=""),"",N($AH19)-N($H19)-N($U19))</f>
        <v/>
      </c>
      <c r="AM19" s="53" t="str">
        <f aca="false">IF($AL19="","",MAX(0,$AL19))</f>
        <v/>
      </c>
    </row>
    <row r="20" customFormat="false" ht="15" hidden="false" customHeight="false" outlineLevel="0" collapsed="false">
      <c r="B20" s="37" t="n">
        <f aca="false">IF($C$3="","",$C$3+14)</f>
        <v>46265</v>
      </c>
      <c r="C20" s="38" t="str">
        <f aca="false">IF($B20="","",IF($B20-$C$3+1&gt;28,"Closeout","Week "&amp;ROUNDUP(($B20-$C$3+1)/7,0)))</f>
        <v>Week 3</v>
      </c>
      <c r="D20" s="39"/>
      <c r="E20" s="39"/>
      <c r="F20" s="39"/>
      <c r="G20" s="39"/>
      <c r="H20" s="40"/>
      <c r="I20" s="41"/>
      <c r="J20" s="41"/>
      <c r="K20" s="41"/>
      <c r="L20" s="41"/>
      <c r="M20" s="41"/>
      <c r="N20" s="41"/>
      <c r="O20" s="41"/>
      <c r="P20" s="41"/>
      <c r="Q20" s="40"/>
      <c r="R20" s="40"/>
      <c r="S20" s="40"/>
      <c r="T20" s="42" t="n">
        <f aca="false">IF($E$3="","",$E$3)</f>
        <v>0.1</v>
      </c>
      <c r="U20" s="40"/>
      <c r="V20" s="43"/>
      <c r="W20" s="43"/>
      <c r="X20" s="43"/>
      <c r="Y20" s="39"/>
      <c r="Z20" s="42" t="str">
        <f aca="false">IF(N($I20)=0,"",IFERROR($J20/$I20,""))</f>
        <v/>
      </c>
      <c r="AA20" s="44" t="str">
        <f aca="false">IF(N($J20)=0,"",IFERROR($H20/$J20,""))</f>
        <v/>
      </c>
      <c r="AB20" s="42" t="str">
        <f aca="false">IF(N($J20)=0,"",IFERROR($K20/$J20,""))</f>
        <v/>
      </c>
      <c r="AC20" s="42" t="str">
        <f aca="false">IF(N($K20)=0,"",IFERROR($L20/$K20,""))</f>
        <v/>
      </c>
      <c r="AD20" s="42" t="str">
        <f aca="false">IF(N($L20)=0,"",IFERROR($M20/$L20,""))</f>
        <v/>
      </c>
      <c r="AE20" s="42" t="str">
        <f aca="false">IF(N($M20)=0,"",IFERROR($N20/$M20,""))</f>
        <v/>
      </c>
      <c r="AF20" s="42" t="str">
        <f aca="false">IF(N($N20)=0,"",IFERROR($P20/$N20,""))</f>
        <v/>
      </c>
      <c r="AG20" s="44" t="str">
        <f aca="false">IF(N($P20)=0,"",IFERROR($S20/$P20,""))</f>
        <v/>
      </c>
      <c r="AH20" s="44" t="str">
        <f aca="false">IF($S20="","",$S20*N($T20))</f>
        <v/>
      </c>
      <c r="AI20" s="44" t="str">
        <f aca="false">IF(N($P20)=0,"",IFERROR($H20/$P20,""))</f>
        <v/>
      </c>
      <c r="AJ20" s="44" t="str">
        <f aca="false">IF($AG20="","",$AG20*N($T20))</f>
        <v/>
      </c>
      <c r="AK20" s="45" t="str">
        <f aca="false">IF(N($H20)=0,"",IFERROR($S20/$H20,""))</f>
        <v/>
      </c>
      <c r="AL20" s="44" t="str">
        <f aca="false">IF(AND($H20="",$S20=""),"",N($AH20)-N($H20)-N($U20))</f>
        <v/>
      </c>
      <c r="AM20" s="44" t="str">
        <f aca="false">IF($AL20="","",MAX(0,$AL20))</f>
        <v/>
      </c>
    </row>
    <row r="21" customFormat="false" ht="15" hidden="false" customHeight="false" outlineLevel="0" collapsed="false">
      <c r="B21" s="46" t="n">
        <f aca="false">IF($C$3="","",$C$3+15)</f>
        <v>46266</v>
      </c>
      <c r="C21" s="47" t="str">
        <f aca="false">IF($B21="","",IF($B21-$C$3+1&gt;28,"Closeout","Week "&amp;ROUNDUP(($B21-$C$3+1)/7,0)))</f>
        <v>Week 3</v>
      </c>
      <c r="D21" s="48"/>
      <c r="E21" s="48"/>
      <c r="F21" s="48"/>
      <c r="G21" s="48"/>
      <c r="H21" s="49"/>
      <c r="I21" s="50"/>
      <c r="J21" s="50"/>
      <c r="K21" s="50"/>
      <c r="L21" s="50"/>
      <c r="M21" s="50"/>
      <c r="N21" s="50"/>
      <c r="O21" s="50"/>
      <c r="P21" s="50"/>
      <c r="Q21" s="49"/>
      <c r="R21" s="49"/>
      <c r="S21" s="49"/>
      <c r="T21" s="51" t="n">
        <f aca="false">IF($E$3="","",$E$3)</f>
        <v>0.1</v>
      </c>
      <c r="U21" s="49"/>
      <c r="V21" s="52"/>
      <c r="W21" s="52"/>
      <c r="X21" s="52"/>
      <c r="Y21" s="48"/>
      <c r="Z21" s="51" t="str">
        <f aca="false">IF(N($I21)=0,"",IFERROR($J21/$I21,""))</f>
        <v/>
      </c>
      <c r="AA21" s="53" t="str">
        <f aca="false">IF(N($J21)=0,"",IFERROR($H21/$J21,""))</f>
        <v/>
      </c>
      <c r="AB21" s="51" t="str">
        <f aca="false">IF(N($J21)=0,"",IFERROR($K21/$J21,""))</f>
        <v/>
      </c>
      <c r="AC21" s="51" t="str">
        <f aca="false">IF(N($K21)=0,"",IFERROR($L21/$K21,""))</f>
        <v/>
      </c>
      <c r="AD21" s="51" t="str">
        <f aca="false">IF(N($L21)=0,"",IFERROR($M21/$L21,""))</f>
        <v/>
      </c>
      <c r="AE21" s="51" t="str">
        <f aca="false">IF(N($M21)=0,"",IFERROR($N21/$M21,""))</f>
        <v/>
      </c>
      <c r="AF21" s="51" t="str">
        <f aca="false">IF(N($N21)=0,"",IFERROR($P21/$N21,""))</f>
        <v/>
      </c>
      <c r="AG21" s="53" t="str">
        <f aca="false">IF(N($P21)=0,"",IFERROR($S21/$P21,""))</f>
        <v/>
      </c>
      <c r="AH21" s="53" t="str">
        <f aca="false">IF($S21="","",$S21*N($T21))</f>
        <v/>
      </c>
      <c r="AI21" s="53" t="str">
        <f aca="false">IF(N($P21)=0,"",IFERROR($H21/$P21,""))</f>
        <v/>
      </c>
      <c r="AJ21" s="53" t="str">
        <f aca="false">IF($AG21="","",$AG21*N($T21))</f>
        <v/>
      </c>
      <c r="AK21" s="54" t="str">
        <f aca="false">IF(N($H21)=0,"",IFERROR($S21/$H21,""))</f>
        <v/>
      </c>
      <c r="AL21" s="53" t="str">
        <f aca="false">IF(AND($H21="",$S21=""),"",N($AH21)-N($H21)-N($U21))</f>
        <v/>
      </c>
      <c r="AM21" s="53" t="str">
        <f aca="false">IF($AL21="","",MAX(0,$AL21))</f>
        <v/>
      </c>
    </row>
    <row r="22" customFormat="false" ht="15" hidden="false" customHeight="false" outlineLevel="0" collapsed="false">
      <c r="B22" s="37" t="n">
        <f aca="false">IF($C$3="","",$C$3+16)</f>
        <v>46267</v>
      </c>
      <c r="C22" s="38" t="str">
        <f aca="false">IF($B22="","",IF($B22-$C$3+1&gt;28,"Closeout","Week "&amp;ROUNDUP(($B22-$C$3+1)/7,0)))</f>
        <v>Week 3</v>
      </c>
      <c r="D22" s="39"/>
      <c r="E22" s="39"/>
      <c r="F22" s="39"/>
      <c r="G22" s="39"/>
      <c r="H22" s="40"/>
      <c r="I22" s="41"/>
      <c r="J22" s="41"/>
      <c r="K22" s="41"/>
      <c r="L22" s="41"/>
      <c r="M22" s="41"/>
      <c r="N22" s="41"/>
      <c r="O22" s="41"/>
      <c r="P22" s="41"/>
      <c r="Q22" s="40"/>
      <c r="R22" s="40"/>
      <c r="S22" s="40"/>
      <c r="T22" s="42" t="n">
        <f aca="false">IF($E$3="","",$E$3)</f>
        <v>0.1</v>
      </c>
      <c r="U22" s="40"/>
      <c r="V22" s="43"/>
      <c r="W22" s="43"/>
      <c r="X22" s="43"/>
      <c r="Y22" s="39"/>
      <c r="Z22" s="42" t="str">
        <f aca="false">IF(N($I22)=0,"",IFERROR($J22/$I22,""))</f>
        <v/>
      </c>
      <c r="AA22" s="44" t="str">
        <f aca="false">IF(N($J22)=0,"",IFERROR($H22/$J22,""))</f>
        <v/>
      </c>
      <c r="AB22" s="42" t="str">
        <f aca="false">IF(N($J22)=0,"",IFERROR($K22/$J22,""))</f>
        <v/>
      </c>
      <c r="AC22" s="42" t="str">
        <f aca="false">IF(N($K22)=0,"",IFERROR($L22/$K22,""))</f>
        <v/>
      </c>
      <c r="AD22" s="42" t="str">
        <f aca="false">IF(N($L22)=0,"",IFERROR($M22/$L22,""))</f>
        <v/>
      </c>
      <c r="AE22" s="42" t="str">
        <f aca="false">IF(N($M22)=0,"",IFERROR($N22/$M22,""))</f>
        <v/>
      </c>
      <c r="AF22" s="42" t="str">
        <f aca="false">IF(N($N22)=0,"",IFERROR($P22/$N22,""))</f>
        <v/>
      </c>
      <c r="AG22" s="44" t="str">
        <f aca="false">IF(N($P22)=0,"",IFERROR($S22/$P22,""))</f>
        <v/>
      </c>
      <c r="AH22" s="44" t="str">
        <f aca="false">IF($S22="","",$S22*N($T22))</f>
        <v/>
      </c>
      <c r="AI22" s="44" t="str">
        <f aca="false">IF(N($P22)=0,"",IFERROR($H22/$P22,""))</f>
        <v/>
      </c>
      <c r="AJ22" s="44" t="str">
        <f aca="false">IF($AG22="","",$AG22*N($T22))</f>
        <v/>
      </c>
      <c r="AK22" s="45" t="str">
        <f aca="false">IF(N($H22)=0,"",IFERROR($S22/$H22,""))</f>
        <v/>
      </c>
      <c r="AL22" s="44" t="str">
        <f aca="false">IF(AND($H22="",$S22=""),"",N($AH22)-N($H22)-N($U22))</f>
        <v/>
      </c>
      <c r="AM22" s="44" t="str">
        <f aca="false">IF($AL22="","",MAX(0,$AL22))</f>
        <v/>
      </c>
    </row>
    <row r="23" customFormat="false" ht="15" hidden="false" customHeight="false" outlineLevel="0" collapsed="false">
      <c r="B23" s="46" t="n">
        <f aca="false">IF($C$3="","",$C$3+17)</f>
        <v>46268</v>
      </c>
      <c r="C23" s="47" t="str">
        <f aca="false">IF($B23="","",IF($B23-$C$3+1&gt;28,"Closeout","Week "&amp;ROUNDUP(($B23-$C$3+1)/7,0)))</f>
        <v>Week 3</v>
      </c>
      <c r="D23" s="48"/>
      <c r="E23" s="48"/>
      <c r="F23" s="48"/>
      <c r="G23" s="48"/>
      <c r="H23" s="49"/>
      <c r="I23" s="50"/>
      <c r="J23" s="50"/>
      <c r="K23" s="50"/>
      <c r="L23" s="50"/>
      <c r="M23" s="50"/>
      <c r="N23" s="50"/>
      <c r="O23" s="50"/>
      <c r="P23" s="50"/>
      <c r="Q23" s="49"/>
      <c r="R23" s="49"/>
      <c r="S23" s="49"/>
      <c r="T23" s="51" t="n">
        <f aca="false">IF($E$3="","",$E$3)</f>
        <v>0.1</v>
      </c>
      <c r="U23" s="49"/>
      <c r="V23" s="52"/>
      <c r="W23" s="52"/>
      <c r="X23" s="52"/>
      <c r="Y23" s="48"/>
      <c r="Z23" s="51" t="str">
        <f aca="false">IF(N($I23)=0,"",IFERROR($J23/$I23,""))</f>
        <v/>
      </c>
      <c r="AA23" s="53" t="str">
        <f aca="false">IF(N($J23)=0,"",IFERROR($H23/$J23,""))</f>
        <v/>
      </c>
      <c r="AB23" s="51" t="str">
        <f aca="false">IF(N($J23)=0,"",IFERROR($K23/$J23,""))</f>
        <v/>
      </c>
      <c r="AC23" s="51" t="str">
        <f aca="false">IF(N($K23)=0,"",IFERROR($L23/$K23,""))</f>
        <v/>
      </c>
      <c r="AD23" s="51" t="str">
        <f aca="false">IF(N($L23)=0,"",IFERROR($M23/$L23,""))</f>
        <v/>
      </c>
      <c r="AE23" s="51" t="str">
        <f aca="false">IF(N($M23)=0,"",IFERROR($N23/$M23,""))</f>
        <v/>
      </c>
      <c r="AF23" s="51" t="str">
        <f aca="false">IF(N($N23)=0,"",IFERROR($P23/$N23,""))</f>
        <v/>
      </c>
      <c r="AG23" s="53" t="str">
        <f aca="false">IF(N($P23)=0,"",IFERROR($S23/$P23,""))</f>
        <v/>
      </c>
      <c r="AH23" s="53" t="str">
        <f aca="false">IF($S23="","",$S23*N($T23))</f>
        <v/>
      </c>
      <c r="AI23" s="53" t="str">
        <f aca="false">IF(N($P23)=0,"",IFERROR($H23/$P23,""))</f>
        <v/>
      </c>
      <c r="AJ23" s="53" t="str">
        <f aca="false">IF($AG23="","",$AG23*N($T23))</f>
        <v/>
      </c>
      <c r="AK23" s="54" t="str">
        <f aca="false">IF(N($H23)=0,"",IFERROR($S23/$H23,""))</f>
        <v/>
      </c>
      <c r="AL23" s="53" t="str">
        <f aca="false">IF(AND($H23="",$S23=""),"",N($AH23)-N($H23)-N($U23))</f>
        <v/>
      </c>
      <c r="AM23" s="53" t="str">
        <f aca="false">IF($AL23="","",MAX(0,$AL23))</f>
        <v/>
      </c>
    </row>
    <row r="24" customFormat="false" ht="15" hidden="false" customHeight="false" outlineLevel="0" collapsed="false">
      <c r="B24" s="37" t="n">
        <f aca="false">IF($C$3="","",$C$3+18)</f>
        <v>46269</v>
      </c>
      <c r="C24" s="38" t="str">
        <f aca="false">IF($B24="","",IF($B24-$C$3+1&gt;28,"Closeout","Week "&amp;ROUNDUP(($B24-$C$3+1)/7,0)))</f>
        <v>Week 3</v>
      </c>
      <c r="D24" s="39"/>
      <c r="E24" s="39"/>
      <c r="F24" s="39"/>
      <c r="G24" s="39"/>
      <c r="H24" s="40"/>
      <c r="I24" s="41"/>
      <c r="J24" s="41"/>
      <c r="K24" s="41"/>
      <c r="L24" s="41"/>
      <c r="M24" s="41"/>
      <c r="N24" s="41"/>
      <c r="O24" s="41"/>
      <c r="P24" s="41"/>
      <c r="Q24" s="40"/>
      <c r="R24" s="40"/>
      <c r="S24" s="40"/>
      <c r="T24" s="42" t="n">
        <f aca="false">IF($E$3="","",$E$3)</f>
        <v>0.1</v>
      </c>
      <c r="U24" s="40"/>
      <c r="V24" s="43"/>
      <c r="W24" s="43"/>
      <c r="X24" s="43"/>
      <c r="Y24" s="39"/>
      <c r="Z24" s="42" t="str">
        <f aca="false">IF(N($I24)=0,"",IFERROR($J24/$I24,""))</f>
        <v/>
      </c>
      <c r="AA24" s="44" t="str">
        <f aca="false">IF(N($J24)=0,"",IFERROR($H24/$J24,""))</f>
        <v/>
      </c>
      <c r="AB24" s="42" t="str">
        <f aca="false">IF(N($J24)=0,"",IFERROR($K24/$J24,""))</f>
        <v/>
      </c>
      <c r="AC24" s="42" t="str">
        <f aca="false">IF(N($K24)=0,"",IFERROR($L24/$K24,""))</f>
        <v/>
      </c>
      <c r="AD24" s="42" t="str">
        <f aca="false">IF(N($L24)=0,"",IFERROR($M24/$L24,""))</f>
        <v/>
      </c>
      <c r="AE24" s="42" t="str">
        <f aca="false">IF(N($M24)=0,"",IFERROR($N24/$M24,""))</f>
        <v/>
      </c>
      <c r="AF24" s="42" t="str">
        <f aca="false">IF(N($N24)=0,"",IFERROR($P24/$N24,""))</f>
        <v/>
      </c>
      <c r="AG24" s="44" t="str">
        <f aca="false">IF(N($P24)=0,"",IFERROR($S24/$P24,""))</f>
        <v/>
      </c>
      <c r="AH24" s="44" t="str">
        <f aca="false">IF($S24="","",$S24*N($T24))</f>
        <v/>
      </c>
      <c r="AI24" s="44" t="str">
        <f aca="false">IF(N($P24)=0,"",IFERROR($H24/$P24,""))</f>
        <v/>
      </c>
      <c r="AJ24" s="44" t="str">
        <f aca="false">IF($AG24="","",$AG24*N($T24))</f>
        <v/>
      </c>
      <c r="AK24" s="45" t="str">
        <f aca="false">IF(N($H24)=0,"",IFERROR($S24/$H24,""))</f>
        <v/>
      </c>
      <c r="AL24" s="44" t="str">
        <f aca="false">IF(AND($H24="",$S24=""),"",N($AH24)-N($H24)-N($U24))</f>
        <v/>
      </c>
      <c r="AM24" s="44" t="str">
        <f aca="false">IF($AL24="","",MAX(0,$AL24))</f>
        <v/>
      </c>
    </row>
    <row r="25" customFormat="false" ht="15" hidden="false" customHeight="false" outlineLevel="0" collapsed="false">
      <c r="B25" s="46" t="n">
        <f aca="false">IF($C$3="","",$C$3+19)</f>
        <v>46270</v>
      </c>
      <c r="C25" s="47" t="str">
        <f aca="false">IF($B25="","",IF($B25-$C$3+1&gt;28,"Closeout","Week "&amp;ROUNDUP(($B25-$C$3+1)/7,0)))</f>
        <v>Week 3</v>
      </c>
      <c r="D25" s="48"/>
      <c r="E25" s="48"/>
      <c r="F25" s="48"/>
      <c r="G25" s="48"/>
      <c r="H25" s="49"/>
      <c r="I25" s="50"/>
      <c r="J25" s="50"/>
      <c r="K25" s="50"/>
      <c r="L25" s="50"/>
      <c r="M25" s="50"/>
      <c r="N25" s="50"/>
      <c r="O25" s="50"/>
      <c r="P25" s="50"/>
      <c r="Q25" s="49"/>
      <c r="R25" s="49"/>
      <c r="S25" s="49"/>
      <c r="T25" s="51" t="n">
        <f aca="false">IF($E$3="","",$E$3)</f>
        <v>0.1</v>
      </c>
      <c r="U25" s="49"/>
      <c r="V25" s="52"/>
      <c r="W25" s="52"/>
      <c r="X25" s="52"/>
      <c r="Y25" s="48"/>
      <c r="Z25" s="51" t="str">
        <f aca="false">IF(N($I25)=0,"",IFERROR($J25/$I25,""))</f>
        <v/>
      </c>
      <c r="AA25" s="53" t="str">
        <f aca="false">IF(N($J25)=0,"",IFERROR($H25/$J25,""))</f>
        <v/>
      </c>
      <c r="AB25" s="51" t="str">
        <f aca="false">IF(N($J25)=0,"",IFERROR($K25/$J25,""))</f>
        <v/>
      </c>
      <c r="AC25" s="51" t="str">
        <f aca="false">IF(N($K25)=0,"",IFERROR($L25/$K25,""))</f>
        <v/>
      </c>
      <c r="AD25" s="51" t="str">
        <f aca="false">IF(N($L25)=0,"",IFERROR($M25/$L25,""))</f>
        <v/>
      </c>
      <c r="AE25" s="51" t="str">
        <f aca="false">IF(N($M25)=0,"",IFERROR($N25/$M25,""))</f>
        <v/>
      </c>
      <c r="AF25" s="51" t="str">
        <f aca="false">IF(N($N25)=0,"",IFERROR($P25/$N25,""))</f>
        <v/>
      </c>
      <c r="AG25" s="53" t="str">
        <f aca="false">IF(N($P25)=0,"",IFERROR($S25/$P25,""))</f>
        <v/>
      </c>
      <c r="AH25" s="53" t="str">
        <f aca="false">IF($S25="","",$S25*N($T25))</f>
        <v/>
      </c>
      <c r="AI25" s="53" t="str">
        <f aca="false">IF(N($P25)=0,"",IFERROR($H25/$P25,""))</f>
        <v/>
      </c>
      <c r="AJ25" s="53" t="str">
        <f aca="false">IF($AG25="","",$AG25*N($T25))</f>
        <v/>
      </c>
      <c r="AK25" s="54" t="str">
        <f aca="false">IF(N($H25)=0,"",IFERROR($S25/$H25,""))</f>
        <v/>
      </c>
      <c r="AL25" s="53" t="str">
        <f aca="false">IF(AND($H25="",$S25=""),"",N($AH25)-N($H25)-N($U25))</f>
        <v/>
      </c>
      <c r="AM25" s="53" t="str">
        <f aca="false">IF($AL25="","",MAX(0,$AL25))</f>
        <v/>
      </c>
    </row>
    <row r="26" customFormat="false" ht="15" hidden="false" customHeight="false" outlineLevel="0" collapsed="false">
      <c r="B26" s="37" t="n">
        <f aca="false">IF($C$3="","",$C$3+20)</f>
        <v>46271</v>
      </c>
      <c r="C26" s="38" t="str">
        <f aca="false">IF($B26="","",IF($B26-$C$3+1&gt;28,"Closeout","Week "&amp;ROUNDUP(($B26-$C$3+1)/7,0)))</f>
        <v>Week 3</v>
      </c>
      <c r="D26" s="39"/>
      <c r="E26" s="39"/>
      <c r="F26" s="39"/>
      <c r="G26" s="39"/>
      <c r="H26" s="40"/>
      <c r="I26" s="41"/>
      <c r="J26" s="41"/>
      <c r="K26" s="41"/>
      <c r="L26" s="41"/>
      <c r="M26" s="41"/>
      <c r="N26" s="41"/>
      <c r="O26" s="41"/>
      <c r="P26" s="41"/>
      <c r="Q26" s="40"/>
      <c r="R26" s="40"/>
      <c r="S26" s="40"/>
      <c r="T26" s="42" t="n">
        <f aca="false">IF($E$3="","",$E$3)</f>
        <v>0.1</v>
      </c>
      <c r="U26" s="40"/>
      <c r="V26" s="43"/>
      <c r="W26" s="43"/>
      <c r="X26" s="43"/>
      <c r="Y26" s="39"/>
      <c r="Z26" s="42" t="str">
        <f aca="false">IF(N($I26)=0,"",IFERROR($J26/$I26,""))</f>
        <v/>
      </c>
      <c r="AA26" s="44" t="str">
        <f aca="false">IF(N($J26)=0,"",IFERROR($H26/$J26,""))</f>
        <v/>
      </c>
      <c r="AB26" s="42" t="str">
        <f aca="false">IF(N($J26)=0,"",IFERROR($K26/$J26,""))</f>
        <v/>
      </c>
      <c r="AC26" s="42" t="str">
        <f aca="false">IF(N($K26)=0,"",IFERROR($L26/$K26,""))</f>
        <v/>
      </c>
      <c r="AD26" s="42" t="str">
        <f aca="false">IF(N($L26)=0,"",IFERROR($M26/$L26,""))</f>
        <v/>
      </c>
      <c r="AE26" s="42" t="str">
        <f aca="false">IF(N($M26)=0,"",IFERROR($N26/$M26,""))</f>
        <v/>
      </c>
      <c r="AF26" s="42" t="str">
        <f aca="false">IF(N($N26)=0,"",IFERROR($P26/$N26,""))</f>
        <v/>
      </c>
      <c r="AG26" s="44" t="str">
        <f aca="false">IF(N($P26)=0,"",IFERROR($S26/$P26,""))</f>
        <v/>
      </c>
      <c r="AH26" s="44" t="str">
        <f aca="false">IF($S26="","",$S26*N($T26))</f>
        <v/>
      </c>
      <c r="AI26" s="44" t="str">
        <f aca="false">IF(N($P26)=0,"",IFERROR($H26/$P26,""))</f>
        <v/>
      </c>
      <c r="AJ26" s="44" t="str">
        <f aca="false">IF($AG26="","",$AG26*N($T26))</f>
        <v/>
      </c>
      <c r="AK26" s="45" t="str">
        <f aca="false">IF(N($H26)=0,"",IFERROR($S26/$H26,""))</f>
        <v/>
      </c>
      <c r="AL26" s="44" t="str">
        <f aca="false">IF(AND($H26="",$S26=""),"",N($AH26)-N($H26)-N($U26))</f>
        <v/>
      </c>
      <c r="AM26" s="44" t="str">
        <f aca="false">IF($AL26="","",MAX(0,$AL26))</f>
        <v/>
      </c>
    </row>
    <row r="27" customFormat="false" ht="15" hidden="false" customHeight="false" outlineLevel="0" collapsed="false">
      <c r="B27" s="46" t="n">
        <f aca="false">IF($C$3="","",$C$3+21)</f>
        <v>46272</v>
      </c>
      <c r="C27" s="47" t="str">
        <f aca="false">IF($B27="","",IF($B27-$C$3+1&gt;28,"Closeout","Week "&amp;ROUNDUP(($B27-$C$3+1)/7,0)))</f>
        <v>Week 4</v>
      </c>
      <c r="D27" s="48"/>
      <c r="E27" s="48"/>
      <c r="F27" s="48"/>
      <c r="G27" s="48"/>
      <c r="H27" s="49"/>
      <c r="I27" s="50"/>
      <c r="J27" s="50"/>
      <c r="K27" s="50"/>
      <c r="L27" s="50"/>
      <c r="M27" s="50"/>
      <c r="N27" s="50"/>
      <c r="O27" s="50"/>
      <c r="P27" s="50"/>
      <c r="Q27" s="49"/>
      <c r="R27" s="49"/>
      <c r="S27" s="49"/>
      <c r="T27" s="51" t="n">
        <f aca="false">IF($E$3="","",$E$3)</f>
        <v>0.1</v>
      </c>
      <c r="U27" s="49"/>
      <c r="V27" s="52"/>
      <c r="W27" s="52"/>
      <c r="X27" s="52"/>
      <c r="Y27" s="48"/>
      <c r="Z27" s="51" t="str">
        <f aca="false">IF(N($I27)=0,"",IFERROR($J27/$I27,""))</f>
        <v/>
      </c>
      <c r="AA27" s="53" t="str">
        <f aca="false">IF(N($J27)=0,"",IFERROR($H27/$J27,""))</f>
        <v/>
      </c>
      <c r="AB27" s="51" t="str">
        <f aca="false">IF(N($J27)=0,"",IFERROR($K27/$J27,""))</f>
        <v/>
      </c>
      <c r="AC27" s="51" t="str">
        <f aca="false">IF(N($K27)=0,"",IFERROR($L27/$K27,""))</f>
        <v/>
      </c>
      <c r="AD27" s="51" t="str">
        <f aca="false">IF(N($L27)=0,"",IFERROR($M27/$L27,""))</f>
        <v/>
      </c>
      <c r="AE27" s="51" t="str">
        <f aca="false">IF(N($M27)=0,"",IFERROR($N27/$M27,""))</f>
        <v/>
      </c>
      <c r="AF27" s="51" t="str">
        <f aca="false">IF(N($N27)=0,"",IFERROR($P27/$N27,""))</f>
        <v/>
      </c>
      <c r="AG27" s="53" t="str">
        <f aca="false">IF(N($P27)=0,"",IFERROR($S27/$P27,""))</f>
        <v/>
      </c>
      <c r="AH27" s="53" t="str">
        <f aca="false">IF($S27="","",$S27*N($T27))</f>
        <v/>
      </c>
      <c r="AI27" s="53" t="str">
        <f aca="false">IF(N($P27)=0,"",IFERROR($H27/$P27,""))</f>
        <v/>
      </c>
      <c r="AJ27" s="53" t="str">
        <f aca="false">IF($AG27="","",$AG27*N($T27))</f>
        <v/>
      </c>
      <c r="AK27" s="54" t="str">
        <f aca="false">IF(N($H27)=0,"",IFERROR($S27/$H27,""))</f>
        <v/>
      </c>
      <c r="AL27" s="53" t="str">
        <f aca="false">IF(AND($H27="",$S27=""),"",N($AH27)-N($H27)-N($U27))</f>
        <v/>
      </c>
      <c r="AM27" s="53" t="str">
        <f aca="false">IF($AL27="","",MAX(0,$AL27))</f>
        <v/>
      </c>
    </row>
    <row r="28" customFormat="false" ht="15" hidden="false" customHeight="false" outlineLevel="0" collapsed="false">
      <c r="B28" s="37" t="n">
        <f aca="false">IF($C$3="","",$C$3+22)</f>
        <v>46273</v>
      </c>
      <c r="C28" s="38" t="str">
        <f aca="false">IF($B28="","",IF($B28-$C$3+1&gt;28,"Closeout","Week "&amp;ROUNDUP(($B28-$C$3+1)/7,0)))</f>
        <v>Week 4</v>
      </c>
      <c r="D28" s="39"/>
      <c r="E28" s="39"/>
      <c r="F28" s="39"/>
      <c r="G28" s="39"/>
      <c r="H28" s="40"/>
      <c r="I28" s="41"/>
      <c r="J28" s="41"/>
      <c r="K28" s="41"/>
      <c r="L28" s="41"/>
      <c r="M28" s="41"/>
      <c r="N28" s="41"/>
      <c r="O28" s="41"/>
      <c r="P28" s="41"/>
      <c r="Q28" s="40"/>
      <c r="R28" s="40"/>
      <c r="S28" s="40"/>
      <c r="T28" s="42" t="n">
        <f aca="false">IF($E$3="","",$E$3)</f>
        <v>0.1</v>
      </c>
      <c r="U28" s="40"/>
      <c r="V28" s="43"/>
      <c r="W28" s="43"/>
      <c r="X28" s="43"/>
      <c r="Y28" s="39"/>
      <c r="Z28" s="42" t="str">
        <f aca="false">IF(N($I28)=0,"",IFERROR($J28/$I28,""))</f>
        <v/>
      </c>
      <c r="AA28" s="44" t="str">
        <f aca="false">IF(N($J28)=0,"",IFERROR($H28/$J28,""))</f>
        <v/>
      </c>
      <c r="AB28" s="42" t="str">
        <f aca="false">IF(N($J28)=0,"",IFERROR($K28/$J28,""))</f>
        <v/>
      </c>
      <c r="AC28" s="42" t="str">
        <f aca="false">IF(N($K28)=0,"",IFERROR($L28/$K28,""))</f>
        <v/>
      </c>
      <c r="AD28" s="42" t="str">
        <f aca="false">IF(N($L28)=0,"",IFERROR($M28/$L28,""))</f>
        <v/>
      </c>
      <c r="AE28" s="42" t="str">
        <f aca="false">IF(N($M28)=0,"",IFERROR($N28/$M28,""))</f>
        <v/>
      </c>
      <c r="AF28" s="42" t="str">
        <f aca="false">IF(N($N28)=0,"",IFERROR($P28/$N28,""))</f>
        <v/>
      </c>
      <c r="AG28" s="44" t="str">
        <f aca="false">IF(N($P28)=0,"",IFERROR($S28/$P28,""))</f>
        <v/>
      </c>
      <c r="AH28" s="44" t="str">
        <f aca="false">IF($S28="","",$S28*N($T28))</f>
        <v/>
      </c>
      <c r="AI28" s="44" t="str">
        <f aca="false">IF(N($P28)=0,"",IFERROR($H28/$P28,""))</f>
        <v/>
      </c>
      <c r="AJ28" s="44" t="str">
        <f aca="false">IF($AG28="","",$AG28*N($T28))</f>
        <v/>
      </c>
      <c r="AK28" s="45" t="str">
        <f aca="false">IF(N($H28)=0,"",IFERROR($S28/$H28,""))</f>
        <v/>
      </c>
      <c r="AL28" s="44" t="str">
        <f aca="false">IF(AND($H28="",$S28=""),"",N($AH28)-N($H28)-N($U28))</f>
        <v/>
      </c>
      <c r="AM28" s="44" t="str">
        <f aca="false">IF($AL28="","",MAX(0,$AL28))</f>
        <v/>
      </c>
    </row>
    <row r="29" customFormat="false" ht="15" hidden="false" customHeight="false" outlineLevel="0" collapsed="false">
      <c r="B29" s="46" t="n">
        <f aca="false">IF($C$3="","",$C$3+23)</f>
        <v>46274</v>
      </c>
      <c r="C29" s="47" t="str">
        <f aca="false">IF($B29="","",IF($B29-$C$3+1&gt;28,"Closeout","Week "&amp;ROUNDUP(($B29-$C$3+1)/7,0)))</f>
        <v>Week 4</v>
      </c>
      <c r="D29" s="48"/>
      <c r="E29" s="48"/>
      <c r="F29" s="48"/>
      <c r="G29" s="48"/>
      <c r="H29" s="49"/>
      <c r="I29" s="50"/>
      <c r="J29" s="50"/>
      <c r="K29" s="50"/>
      <c r="L29" s="50"/>
      <c r="M29" s="50"/>
      <c r="N29" s="50"/>
      <c r="O29" s="50"/>
      <c r="P29" s="50"/>
      <c r="Q29" s="49"/>
      <c r="R29" s="49"/>
      <c r="S29" s="49"/>
      <c r="T29" s="51" t="n">
        <f aca="false">IF($E$3="","",$E$3)</f>
        <v>0.1</v>
      </c>
      <c r="U29" s="49"/>
      <c r="V29" s="52"/>
      <c r="W29" s="52"/>
      <c r="X29" s="52"/>
      <c r="Y29" s="48"/>
      <c r="Z29" s="51" t="str">
        <f aca="false">IF(N($I29)=0,"",IFERROR($J29/$I29,""))</f>
        <v/>
      </c>
      <c r="AA29" s="53" t="str">
        <f aca="false">IF(N($J29)=0,"",IFERROR($H29/$J29,""))</f>
        <v/>
      </c>
      <c r="AB29" s="51" t="str">
        <f aca="false">IF(N($J29)=0,"",IFERROR($K29/$J29,""))</f>
        <v/>
      </c>
      <c r="AC29" s="51" t="str">
        <f aca="false">IF(N($K29)=0,"",IFERROR($L29/$K29,""))</f>
        <v/>
      </c>
      <c r="AD29" s="51" t="str">
        <f aca="false">IF(N($L29)=0,"",IFERROR($M29/$L29,""))</f>
        <v/>
      </c>
      <c r="AE29" s="51" t="str">
        <f aca="false">IF(N($M29)=0,"",IFERROR($N29/$M29,""))</f>
        <v/>
      </c>
      <c r="AF29" s="51" t="str">
        <f aca="false">IF(N($N29)=0,"",IFERROR($P29/$N29,""))</f>
        <v/>
      </c>
      <c r="AG29" s="53" t="str">
        <f aca="false">IF(N($P29)=0,"",IFERROR($S29/$P29,""))</f>
        <v/>
      </c>
      <c r="AH29" s="53" t="str">
        <f aca="false">IF($S29="","",$S29*N($T29))</f>
        <v/>
      </c>
      <c r="AI29" s="53" t="str">
        <f aca="false">IF(N($P29)=0,"",IFERROR($H29/$P29,""))</f>
        <v/>
      </c>
      <c r="AJ29" s="53" t="str">
        <f aca="false">IF($AG29="","",$AG29*N($T29))</f>
        <v/>
      </c>
      <c r="AK29" s="54" t="str">
        <f aca="false">IF(N($H29)=0,"",IFERROR($S29/$H29,""))</f>
        <v/>
      </c>
      <c r="AL29" s="53" t="str">
        <f aca="false">IF(AND($H29="",$S29=""),"",N($AH29)-N($H29)-N($U29))</f>
        <v/>
      </c>
      <c r="AM29" s="53" t="str">
        <f aca="false">IF($AL29="","",MAX(0,$AL29))</f>
        <v/>
      </c>
    </row>
    <row r="30" customFormat="false" ht="15" hidden="false" customHeight="false" outlineLevel="0" collapsed="false">
      <c r="B30" s="37" t="n">
        <f aca="false">IF($C$3="","",$C$3+24)</f>
        <v>46275</v>
      </c>
      <c r="C30" s="38" t="str">
        <f aca="false">IF($B30="","",IF($B30-$C$3+1&gt;28,"Closeout","Week "&amp;ROUNDUP(($B30-$C$3+1)/7,0)))</f>
        <v>Week 4</v>
      </c>
      <c r="D30" s="39"/>
      <c r="E30" s="39"/>
      <c r="F30" s="39"/>
      <c r="G30" s="39"/>
      <c r="H30" s="40"/>
      <c r="I30" s="41"/>
      <c r="J30" s="41"/>
      <c r="K30" s="41"/>
      <c r="L30" s="41"/>
      <c r="M30" s="41"/>
      <c r="N30" s="41"/>
      <c r="O30" s="41"/>
      <c r="P30" s="41"/>
      <c r="Q30" s="40"/>
      <c r="R30" s="40"/>
      <c r="S30" s="40"/>
      <c r="T30" s="42" t="n">
        <f aca="false">IF($E$3="","",$E$3)</f>
        <v>0.1</v>
      </c>
      <c r="U30" s="40"/>
      <c r="V30" s="43"/>
      <c r="W30" s="43"/>
      <c r="X30" s="43"/>
      <c r="Y30" s="39"/>
      <c r="Z30" s="42" t="str">
        <f aca="false">IF(N($I30)=0,"",IFERROR($J30/$I30,""))</f>
        <v/>
      </c>
      <c r="AA30" s="44" t="str">
        <f aca="false">IF(N($J30)=0,"",IFERROR($H30/$J30,""))</f>
        <v/>
      </c>
      <c r="AB30" s="42" t="str">
        <f aca="false">IF(N($J30)=0,"",IFERROR($K30/$J30,""))</f>
        <v/>
      </c>
      <c r="AC30" s="42" t="str">
        <f aca="false">IF(N($K30)=0,"",IFERROR($L30/$K30,""))</f>
        <v/>
      </c>
      <c r="AD30" s="42" t="str">
        <f aca="false">IF(N($L30)=0,"",IFERROR($M30/$L30,""))</f>
        <v/>
      </c>
      <c r="AE30" s="42" t="str">
        <f aca="false">IF(N($M30)=0,"",IFERROR($N30/$M30,""))</f>
        <v/>
      </c>
      <c r="AF30" s="42" t="str">
        <f aca="false">IF(N($N30)=0,"",IFERROR($P30/$N30,""))</f>
        <v/>
      </c>
      <c r="AG30" s="44" t="str">
        <f aca="false">IF(N($P30)=0,"",IFERROR($S30/$P30,""))</f>
        <v/>
      </c>
      <c r="AH30" s="44" t="str">
        <f aca="false">IF($S30="","",$S30*N($T30))</f>
        <v/>
      </c>
      <c r="AI30" s="44" t="str">
        <f aca="false">IF(N($P30)=0,"",IFERROR($H30/$P30,""))</f>
        <v/>
      </c>
      <c r="AJ30" s="44" t="str">
        <f aca="false">IF($AG30="","",$AG30*N($T30))</f>
        <v/>
      </c>
      <c r="AK30" s="45" t="str">
        <f aca="false">IF(N($H30)=0,"",IFERROR($S30/$H30,""))</f>
        <v/>
      </c>
      <c r="AL30" s="44" t="str">
        <f aca="false">IF(AND($H30="",$S30=""),"",N($AH30)-N($H30)-N($U30))</f>
        <v/>
      </c>
      <c r="AM30" s="44" t="str">
        <f aca="false">IF($AL30="","",MAX(0,$AL30))</f>
        <v/>
      </c>
    </row>
    <row r="31" customFormat="false" ht="15" hidden="false" customHeight="false" outlineLevel="0" collapsed="false">
      <c r="B31" s="46" t="n">
        <f aca="false">IF($C$3="","",$C$3+25)</f>
        <v>46276</v>
      </c>
      <c r="C31" s="47" t="str">
        <f aca="false">IF($B31="","",IF($B31-$C$3+1&gt;28,"Closeout","Week "&amp;ROUNDUP(($B31-$C$3+1)/7,0)))</f>
        <v>Week 4</v>
      </c>
      <c r="D31" s="48"/>
      <c r="E31" s="48"/>
      <c r="F31" s="48"/>
      <c r="G31" s="48"/>
      <c r="H31" s="49"/>
      <c r="I31" s="50"/>
      <c r="J31" s="50"/>
      <c r="K31" s="50"/>
      <c r="L31" s="50"/>
      <c r="M31" s="50"/>
      <c r="N31" s="50"/>
      <c r="O31" s="50"/>
      <c r="P31" s="50"/>
      <c r="Q31" s="49"/>
      <c r="R31" s="49"/>
      <c r="S31" s="49"/>
      <c r="T31" s="51" t="n">
        <f aca="false">IF($E$3="","",$E$3)</f>
        <v>0.1</v>
      </c>
      <c r="U31" s="49"/>
      <c r="V31" s="52"/>
      <c r="W31" s="52"/>
      <c r="X31" s="52"/>
      <c r="Y31" s="48"/>
      <c r="Z31" s="51" t="str">
        <f aca="false">IF(N($I31)=0,"",IFERROR($J31/$I31,""))</f>
        <v/>
      </c>
      <c r="AA31" s="53" t="str">
        <f aca="false">IF(N($J31)=0,"",IFERROR($H31/$J31,""))</f>
        <v/>
      </c>
      <c r="AB31" s="51" t="str">
        <f aca="false">IF(N($J31)=0,"",IFERROR($K31/$J31,""))</f>
        <v/>
      </c>
      <c r="AC31" s="51" t="str">
        <f aca="false">IF(N($K31)=0,"",IFERROR($L31/$K31,""))</f>
        <v/>
      </c>
      <c r="AD31" s="51" t="str">
        <f aca="false">IF(N($L31)=0,"",IFERROR($M31/$L31,""))</f>
        <v/>
      </c>
      <c r="AE31" s="51" t="str">
        <f aca="false">IF(N($M31)=0,"",IFERROR($N31/$M31,""))</f>
        <v/>
      </c>
      <c r="AF31" s="51" t="str">
        <f aca="false">IF(N($N31)=0,"",IFERROR($P31/$N31,""))</f>
        <v/>
      </c>
      <c r="AG31" s="53" t="str">
        <f aca="false">IF(N($P31)=0,"",IFERROR($S31/$P31,""))</f>
        <v/>
      </c>
      <c r="AH31" s="53" t="str">
        <f aca="false">IF($S31="","",$S31*N($T31))</f>
        <v/>
      </c>
      <c r="AI31" s="53" t="str">
        <f aca="false">IF(N($P31)=0,"",IFERROR($H31/$P31,""))</f>
        <v/>
      </c>
      <c r="AJ31" s="53" t="str">
        <f aca="false">IF($AG31="","",$AG31*N($T31))</f>
        <v/>
      </c>
      <c r="AK31" s="54" t="str">
        <f aca="false">IF(N($H31)=0,"",IFERROR($S31/$H31,""))</f>
        <v/>
      </c>
      <c r="AL31" s="53" t="str">
        <f aca="false">IF(AND($H31="",$S31=""),"",N($AH31)-N($H31)-N($U31))</f>
        <v/>
      </c>
      <c r="AM31" s="53" t="str">
        <f aca="false">IF($AL31="","",MAX(0,$AL31))</f>
        <v/>
      </c>
    </row>
    <row r="32" customFormat="false" ht="15" hidden="false" customHeight="false" outlineLevel="0" collapsed="false">
      <c r="B32" s="37" t="n">
        <f aca="false">IF($C$3="","",$C$3+26)</f>
        <v>46277</v>
      </c>
      <c r="C32" s="38" t="str">
        <f aca="false">IF($B32="","",IF($B32-$C$3+1&gt;28,"Closeout","Week "&amp;ROUNDUP(($B32-$C$3+1)/7,0)))</f>
        <v>Week 4</v>
      </c>
      <c r="D32" s="39"/>
      <c r="E32" s="39"/>
      <c r="F32" s="39"/>
      <c r="G32" s="39"/>
      <c r="H32" s="40"/>
      <c r="I32" s="41"/>
      <c r="J32" s="41"/>
      <c r="K32" s="41"/>
      <c r="L32" s="41"/>
      <c r="M32" s="41"/>
      <c r="N32" s="41"/>
      <c r="O32" s="41"/>
      <c r="P32" s="41"/>
      <c r="Q32" s="40"/>
      <c r="R32" s="40"/>
      <c r="S32" s="40"/>
      <c r="T32" s="42" t="n">
        <f aca="false">IF($E$3="","",$E$3)</f>
        <v>0.1</v>
      </c>
      <c r="U32" s="40"/>
      <c r="V32" s="43"/>
      <c r="W32" s="43"/>
      <c r="X32" s="43"/>
      <c r="Y32" s="39"/>
      <c r="Z32" s="42" t="str">
        <f aca="false">IF(N($I32)=0,"",IFERROR($J32/$I32,""))</f>
        <v/>
      </c>
      <c r="AA32" s="44" t="str">
        <f aca="false">IF(N($J32)=0,"",IFERROR($H32/$J32,""))</f>
        <v/>
      </c>
      <c r="AB32" s="42" t="str">
        <f aca="false">IF(N($J32)=0,"",IFERROR($K32/$J32,""))</f>
        <v/>
      </c>
      <c r="AC32" s="42" t="str">
        <f aca="false">IF(N($K32)=0,"",IFERROR($L32/$K32,""))</f>
        <v/>
      </c>
      <c r="AD32" s="42" t="str">
        <f aca="false">IF(N($L32)=0,"",IFERROR($M32/$L32,""))</f>
        <v/>
      </c>
      <c r="AE32" s="42" t="str">
        <f aca="false">IF(N($M32)=0,"",IFERROR($N32/$M32,""))</f>
        <v/>
      </c>
      <c r="AF32" s="42" t="str">
        <f aca="false">IF(N($N32)=0,"",IFERROR($P32/$N32,""))</f>
        <v/>
      </c>
      <c r="AG32" s="44" t="str">
        <f aca="false">IF(N($P32)=0,"",IFERROR($S32/$P32,""))</f>
        <v/>
      </c>
      <c r="AH32" s="44" t="str">
        <f aca="false">IF($S32="","",$S32*N($T32))</f>
        <v/>
      </c>
      <c r="AI32" s="44" t="str">
        <f aca="false">IF(N($P32)=0,"",IFERROR($H32/$P32,""))</f>
        <v/>
      </c>
      <c r="AJ32" s="44" t="str">
        <f aca="false">IF($AG32="","",$AG32*N($T32))</f>
        <v/>
      </c>
      <c r="AK32" s="45" t="str">
        <f aca="false">IF(N($H32)=0,"",IFERROR($S32/$H32,""))</f>
        <v/>
      </c>
      <c r="AL32" s="44" t="str">
        <f aca="false">IF(AND($H32="",$S32=""),"",N($AH32)-N($H32)-N($U32))</f>
        <v/>
      </c>
      <c r="AM32" s="44" t="str">
        <f aca="false">IF($AL32="","",MAX(0,$AL32))</f>
        <v/>
      </c>
    </row>
    <row r="33" customFormat="false" ht="15" hidden="false" customHeight="false" outlineLevel="0" collapsed="false">
      <c r="B33" s="46" t="n">
        <f aca="false">IF($C$3="","",$C$3+27)</f>
        <v>46278</v>
      </c>
      <c r="C33" s="47" t="str">
        <f aca="false">IF($B33="","",IF($B33-$C$3+1&gt;28,"Closeout","Week "&amp;ROUNDUP(($B33-$C$3+1)/7,0)))</f>
        <v>Week 4</v>
      </c>
      <c r="D33" s="48"/>
      <c r="E33" s="48"/>
      <c r="F33" s="48"/>
      <c r="G33" s="48"/>
      <c r="H33" s="49"/>
      <c r="I33" s="50"/>
      <c r="J33" s="50"/>
      <c r="K33" s="50"/>
      <c r="L33" s="50"/>
      <c r="M33" s="50"/>
      <c r="N33" s="50"/>
      <c r="O33" s="50"/>
      <c r="P33" s="50"/>
      <c r="Q33" s="49"/>
      <c r="R33" s="49"/>
      <c r="S33" s="49"/>
      <c r="T33" s="51" t="n">
        <f aca="false">IF($E$3="","",$E$3)</f>
        <v>0.1</v>
      </c>
      <c r="U33" s="49"/>
      <c r="V33" s="52"/>
      <c r="W33" s="52"/>
      <c r="X33" s="52"/>
      <c r="Y33" s="48"/>
      <c r="Z33" s="51" t="str">
        <f aca="false">IF(N($I33)=0,"",IFERROR($J33/$I33,""))</f>
        <v/>
      </c>
      <c r="AA33" s="53" t="str">
        <f aca="false">IF(N($J33)=0,"",IFERROR($H33/$J33,""))</f>
        <v/>
      </c>
      <c r="AB33" s="51" t="str">
        <f aca="false">IF(N($J33)=0,"",IFERROR($K33/$J33,""))</f>
        <v/>
      </c>
      <c r="AC33" s="51" t="str">
        <f aca="false">IF(N($K33)=0,"",IFERROR($L33/$K33,""))</f>
        <v/>
      </c>
      <c r="AD33" s="51" t="str">
        <f aca="false">IF(N($L33)=0,"",IFERROR($M33/$L33,""))</f>
        <v/>
      </c>
      <c r="AE33" s="51" t="str">
        <f aca="false">IF(N($M33)=0,"",IFERROR($N33/$M33,""))</f>
        <v/>
      </c>
      <c r="AF33" s="51" t="str">
        <f aca="false">IF(N($N33)=0,"",IFERROR($P33/$N33,""))</f>
        <v/>
      </c>
      <c r="AG33" s="53" t="str">
        <f aca="false">IF(N($P33)=0,"",IFERROR($S33/$P33,""))</f>
        <v/>
      </c>
      <c r="AH33" s="53" t="str">
        <f aca="false">IF($S33="","",$S33*N($T33))</f>
        <v/>
      </c>
      <c r="AI33" s="53" t="str">
        <f aca="false">IF(N($P33)=0,"",IFERROR($H33/$P33,""))</f>
        <v/>
      </c>
      <c r="AJ33" s="53" t="str">
        <f aca="false">IF($AG33="","",$AG33*N($T33))</f>
        <v/>
      </c>
      <c r="AK33" s="54" t="str">
        <f aca="false">IF(N($H33)=0,"",IFERROR($S33/$H33,""))</f>
        <v/>
      </c>
      <c r="AL33" s="53" t="str">
        <f aca="false">IF(AND($H33="",$S33=""),"",N($AH33)-N($H33)-N($U33))</f>
        <v/>
      </c>
      <c r="AM33" s="53" t="str">
        <f aca="false">IF($AL33="","",MAX(0,$AL33))</f>
        <v/>
      </c>
    </row>
    <row r="34" customFormat="false" ht="15" hidden="false" customHeight="false" outlineLevel="0" collapsed="false">
      <c r="B34" s="37" t="n">
        <f aca="false">IF($C$3="","",$C$3+28)</f>
        <v>46279</v>
      </c>
      <c r="C34" s="38" t="str">
        <f aca="false">IF($B34="","",IF($B34-$C$3+1&gt;28,"Closeout","Week "&amp;ROUNDUP(($B34-$C$3+1)/7,0)))</f>
        <v>Closeout</v>
      </c>
      <c r="D34" s="39"/>
      <c r="E34" s="39"/>
      <c r="F34" s="39"/>
      <c r="G34" s="39"/>
      <c r="H34" s="40"/>
      <c r="I34" s="41"/>
      <c r="J34" s="41"/>
      <c r="K34" s="41"/>
      <c r="L34" s="41"/>
      <c r="M34" s="41"/>
      <c r="N34" s="41"/>
      <c r="O34" s="41"/>
      <c r="P34" s="41"/>
      <c r="Q34" s="40"/>
      <c r="R34" s="40"/>
      <c r="S34" s="40"/>
      <c r="T34" s="42" t="n">
        <f aca="false">IF($E$3="","",$E$3)</f>
        <v>0.1</v>
      </c>
      <c r="U34" s="40"/>
      <c r="V34" s="43"/>
      <c r="W34" s="43"/>
      <c r="X34" s="43"/>
      <c r="Y34" s="39"/>
      <c r="Z34" s="42" t="str">
        <f aca="false">IF(N($I34)=0,"",IFERROR($J34/$I34,""))</f>
        <v/>
      </c>
      <c r="AA34" s="44" t="str">
        <f aca="false">IF(N($J34)=0,"",IFERROR($H34/$J34,""))</f>
        <v/>
      </c>
      <c r="AB34" s="42" t="str">
        <f aca="false">IF(N($J34)=0,"",IFERROR($K34/$J34,""))</f>
        <v/>
      </c>
      <c r="AC34" s="42" t="str">
        <f aca="false">IF(N($K34)=0,"",IFERROR($L34/$K34,""))</f>
        <v/>
      </c>
      <c r="AD34" s="42" t="str">
        <f aca="false">IF(N($L34)=0,"",IFERROR($M34/$L34,""))</f>
        <v/>
      </c>
      <c r="AE34" s="42" t="str">
        <f aca="false">IF(N($M34)=0,"",IFERROR($N34/$M34,""))</f>
        <v/>
      </c>
      <c r="AF34" s="42" t="str">
        <f aca="false">IF(N($N34)=0,"",IFERROR($P34/$N34,""))</f>
        <v/>
      </c>
      <c r="AG34" s="44" t="str">
        <f aca="false">IF(N($P34)=0,"",IFERROR($S34/$P34,""))</f>
        <v/>
      </c>
      <c r="AH34" s="44" t="str">
        <f aca="false">IF($S34="","",$S34*N($T34))</f>
        <v/>
      </c>
      <c r="AI34" s="44" t="str">
        <f aca="false">IF(N($P34)=0,"",IFERROR($H34/$P34,""))</f>
        <v/>
      </c>
      <c r="AJ34" s="44" t="str">
        <f aca="false">IF($AG34="","",$AG34*N($T34))</f>
        <v/>
      </c>
      <c r="AK34" s="45" t="str">
        <f aca="false">IF(N($H34)=0,"",IFERROR($S34/$H34,""))</f>
        <v/>
      </c>
      <c r="AL34" s="44" t="str">
        <f aca="false">IF(AND($H34="",$S34=""),"",N($AH34)-N($H34)-N($U34))</f>
        <v/>
      </c>
      <c r="AM34" s="44" t="str">
        <f aca="false">IF($AL34="","",MAX(0,$AL34))</f>
        <v/>
      </c>
    </row>
    <row r="35" customFormat="false" ht="15" hidden="false" customHeight="false" outlineLevel="0" collapsed="false">
      <c r="B35" s="46" t="n">
        <f aca="false">IF($C$3="","",$C$3+29)</f>
        <v>46280</v>
      </c>
      <c r="C35" s="47" t="str">
        <f aca="false">IF($B35="","",IF($B35-$C$3+1&gt;28,"Closeout","Week "&amp;ROUNDUP(($B35-$C$3+1)/7,0)))</f>
        <v>Closeout</v>
      </c>
      <c r="D35" s="48"/>
      <c r="E35" s="48"/>
      <c r="F35" s="48"/>
      <c r="G35" s="48"/>
      <c r="H35" s="49"/>
      <c r="I35" s="50"/>
      <c r="J35" s="50"/>
      <c r="K35" s="50"/>
      <c r="L35" s="50"/>
      <c r="M35" s="50"/>
      <c r="N35" s="50"/>
      <c r="O35" s="50"/>
      <c r="P35" s="50"/>
      <c r="Q35" s="49"/>
      <c r="R35" s="49"/>
      <c r="S35" s="49"/>
      <c r="T35" s="51" t="n">
        <f aca="false">IF($E$3="","",$E$3)</f>
        <v>0.1</v>
      </c>
      <c r="U35" s="49"/>
      <c r="V35" s="52"/>
      <c r="W35" s="52"/>
      <c r="X35" s="52"/>
      <c r="Y35" s="48"/>
      <c r="Z35" s="51" t="str">
        <f aca="false">IF(N($I35)=0,"",IFERROR($J35/$I35,""))</f>
        <v/>
      </c>
      <c r="AA35" s="53" t="str">
        <f aca="false">IF(N($J35)=0,"",IFERROR($H35/$J35,""))</f>
        <v/>
      </c>
      <c r="AB35" s="51" t="str">
        <f aca="false">IF(N($J35)=0,"",IFERROR($K35/$J35,""))</f>
        <v/>
      </c>
      <c r="AC35" s="51" t="str">
        <f aca="false">IF(N($K35)=0,"",IFERROR($L35/$K35,""))</f>
        <v/>
      </c>
      <c r="AD35" s="51" t="str">
        <f aca="false">IF(N($L35)=0,"",IFERROR($M35/$L35,""))</f>
        <v/>
      </c>
      <c r="AE35" s="51" t="str">
        <f aca="false">IF(N($M35)=0,"",IFERROR($N35/$M35,""))</f>
        <v/>
      </c>
      <c r="AF35" s="51" t="str">
        <f aca="false">IF(N($N35)=0,"",IFERROR($P35/$N35,""))</f>
        <v/>
      </c>
      <c r="AG35" s="53" t="str">
        <f aca="false">IF(N($P35)=0,"",IFERROR($S35/$P35,""))</f>
        <v/>
      </c>
      <c r="AH35" s="53" t="str">
        <f aca="false">IF($S35="","",$S35*N($T35))</f>
        <v/>
      </c>
      <c r="AI35" s="53" t="str">
        <f aca="false">IF(N($P35)=0,"",IFERROR($H35/$P35,""))</f>
        <v/>
      </c>
      <c r="AJ35" s="53" t="str">
        <f aca="false">IF($AG35="","",$AG35*N($T35))</f>
        <v/>
      </c>
      <c r="AK35" s="54" t="str">
        <f aca="false">IF(N($H35)=0,"",IFERROR($S35/$H35,""))</f>
        <v/>
      </c>
      <c r="AL35" s="53" t="str">
        <f aca="false">IF(AND($H35="",$S35=""),"",N($AH35)-N($H35)-N($U35))</f>
        <v/>
      </c>
      <c r="AM35" s="53" t="str">
        <f aca="false">IF($AL35="","",MAX(0,$AL35))</f>
        <v/>
      </c>
    </row>
    <row r="37" customFormat="false" ht="18" hidden="false" customHeight="true" outlineLevel="0" collapsed="false">
      <c r="B37" s="55" t="s">
        <v>70</v>
      </c>
      <c r="C37" s="55"/>
      <c r="D37" s="55"/>
      <c r="E37" s="55"/>
      <c r="F37" s="55"/>
      <c r="G37" s="55"/>
      <c r="H37" s="56" t="n">
        <f aca="false">SUM(H6:H35)</f>
        <v>0</v>
      </c>
      <c r="I37" s="57" t="n">
        <f aca="false">SUM(I6:I35)</f>
        <v>0</v>
      </c>
      <c r="J37" s="57" t="n">
        <f aca="false">SUM(J6:J35)</f>
        <v>0</v>
      </c>
      <c r="K37" s="57" t="n">
        <f aca="false">SUM(K6:K35)</f>
        <v>0</v>
      </c>
      <c r="L37" s="57" t="n">
        <f aca="false">SUM(L6:L35)</f>
        <v>0</v>
      </c>
      <c r="M37" s="57" t="n">
        <f aca="false">SUM(M6:M35)</f>
        <v>0</v>
      </c>
      <c r="N37" s="57" t="n">
        <f aca="false">SUM(N6:N35)</f>
        <v>0</v>
      </c>
      <c r="O37" s="57" t="n">
        <f aca="false">SUM(O6:O35)</f>
        <v>0</v>
      </c>
      <c r="P37" s="57" t="n">
        <f aca="false">SUM(P6:P35)</f>
        <v>0</v>
      </c>
      <c r="Q37" s="56" t="n">
        <f aca="false">SUM(Q6:Q35)</f>
        <v>0</v>
      </c>
      <c r="R37" s="56" t="n">
        <f aca="false">SUM(R6:R35)</f>
        <v>0</v>
      </c>
      <c r="S37" s="56" t="n">
        <f aca="false">SUM(S6:S35)</f>
        <v>0</v>
      </c>
      <c r="T37" s="58" t="str">
        <f aca="false">IFERROR(IF(N(S37)=0,"",AH37/S37),"")</f>
        <v/>
      </c>
      <c r="U37" s="56" t="n">
        <f aca="false">SUM(U6:U35)</f>
        <v>0</v>
      </c>
      <c r="Z37" s="58" t="str">
        <f aca="false">IF(N(I37)=0,"",J37/I37)</f>
        <v/>
      </c>
      <c r="AA37" s="56" t="str">
        <f aca="false">IF(N(J37)=0,"",H37/J37)</f>
        <v/>
      </c>
      <c r="AB37" s="58" t="str">
        <f aca="false">IF(N(J37)=0,"",K37/J37)</f>
        <v/>
      </c>
      <c r="AC37" s="58" t="str">
        <f aca="false">IF(N(K37)=0,"",L37/K37)</f>
        <v/>
      </c>
      <c r="AD37" s="58" t="str">
        <f aca="false">IF(N(L37)=0,"",M37/L37)</f>
        <v/>
      </c>
      <c r="AE37" s="58" t="str">
        <f aca="false">IF(N(M37)=0,"",N37/M37)</f>
        <v/>
      </c>
      <c r="AF37" s="58" t="str">
        <f aca="false">IF(N(N37)=0,"",P37/N37)</f>
        <v/>
      </c>
      <c r="AG37" s="56" t="str">
        <f aca="false">IF(N(P37)=0,"",S37/P37)</f>
        <v/>
      </c>
      <c r="AH37" s="56" t="n">
        <f aca="false">SUM(AH6:AH35)</f>
        <v>0</v>
      </c>
      <c r="AI37" s="56" t="str">
        <f aca="false">IF(N(P37)=0,"",H37/P37)</f>
        <v/>
      </c>
      <c r="AJ37" s="56" t="str">
        <f aca="false">IF(AG37="","",AG37*N(T37))</f>
        <v/>
      </c>
      <c r="AK37" s="59" t="str">
        <f aca="false">IF(N(H37)=0,"",S37/H37)</f>
        <v/>
      </c>
      <c r="AL37" s="56" t="n">
        <f aca="false">SUM(AL6:AL35)</f>
        <v>0</v>
      </c>
      <c r="AM37" s="56" t="n">
        <f aca="false">SUM(AM6:AM35)</f>
        <v>0</v>
      </c>
    </row>
  </sheetData>
  <autoFilter ref="B5:AM35"/>
  <mergeCells count="2">
    <mergeCell ref="B4:N4"/>
    <mergeCell ref="B37:G37"/>
  </mergeCells>
  <conditionalFormatting sqref="V6:V35">
    <cfRule type="cellIs" priority="2" operator="equal" aboveAverage="0" equalAverage="0" bottom="0" percent="0" rank="0" text="" dxfId="3">
      <formula>"Missing"</formula>
    </cfRule>
    <cfRule type="cellIs" priority="3" operator="equal" aboveAverage="0" equalAverage="0" bottom="0" percent="0" rank="0" text="" dxfId="3">
      <formula>"Duplicated"</formula>
    </cfRule>
    <cfRule type="cellIs" priority="4" operator="equal" aboveAverage="0" equalAverage="0" bottom="0" percent="0" rank="0" text="" dxfId="3">
      <formula>"Discrepancy"</formula>
    </cfRule>
  </conditionalFormatting>
  <conditionalFormatting sqref="W6:W35">
    <cfRule type="cellIs" priority="5" operator="equal" aboveAverage="0" equalAverage="0" bottom="0" percent="0" rank="0" text="" dxfId="3">
      <formula>"Failing"</formula>
    </cfRule>
    <cfRule type="cellIs" priority="6" operator="equal" aboveAverage="0" equalAverage="0" bottom="0" percent="0" rank="0" text="" dxfId="3">
      <formula>"Errors observed"</formula>
    </cfRule>
  </conditionalFormatting>
  <conditionalFormatting sqref="X6:X35">
    <cfRule type="cellIs" priority="7" operator="equal" aboveAverage="0" equalAverage="0" bottom="0" percent="0" rank="0" text="" dxfId="3">
      <formula>"Out of stock"</formula>
    </cfRule>
  </conditionalFormatting>
  <conditionalFormatting sqref="AK6:AK35">
    <cfRule type="cellIs" priority="8" operator="greaterThanOrEqual" aboveAverage="0" equalAverage="0" bottom="0" percent="0" rank="0" text="" dxfId="0">
      <formula>10</formula>
    </cfRule>
    <cfRule type="cellIs" priority="9" operator="lessThan" aboveAverage="0" equalAverage="0" bottom="0" percent="0" rank="0" text="" dxfId="1">
      <formula>10</formula>
    </cfRule>
  </conditionalFormatting>
  <conditionalFormatting sqref="AL6:AL35">
    <cfRule type="cellIs" priority="10" operator="lessThan" aboveAverage="0" equalAverage="0" bottom="0" percent="0" rank="0" text="" dxfId="3">
      <formula>0</formula>
    </cfRule>
    <cfRule type="cellIs" priority="11" operator="greaterThan" aboveAverage="0" equalAverage="0" bottom="0" percent="0" rank="0" text="" dxfId="0">
      <formula>0</formula>
    </cfRule>
  </conditionalFormatting>
  <conditionalFormatting sqref="H6:H35">
    <cfRule type="cellIs" priority="12" operator="greaterThan" aboveAverage="0" equalAverage="0" bottom="0" percent="0" rank="0" text="" dxfId="3">
      <formula>$G$3</formula>
    </cfRule>
  </conditionalFormatting>
  <dataValidations count="5">
    <dataValidation allowBlank="true" errorStyle="stop" operator="between" prompt="Missing, Duplicated or Discrepancy triggers an immediate hard stop." promptTitle="Tracking status" showDropDown="false" showErrorMessage="false" showInputMessage="false" sqref="V6:V35" type="list">
      <formula1>"Verified,Discrepancy,Missing,Duplicated,Not checked"</formula1>
      <formula2>0</formula2>
    </dataValidation>
    <dataValidation allowBlank="true" errorStyle="stop" operator="between" prompt="Failing checkout or payment triggers an immediate hard stop." promptTitle="Checkout status" showDropDown="false" showErrorMessage="false" showInputMessage="false" sqref="W6:W35" type="list">
      <formula1>"Operational,Errors observed,Failing,Not checked"</formula1>
      <formula2>0</formula2>
    </dataValidation>
    <dataValidation allowBlank="true" errorStyle="stop" operator="between" prompt="Out of stock or unreliable fulfilment triggers an immediate hard stop." promptTitle="Product availability" showDropDown="false" showErrorMessage="false" showInputMessage="false" sqref="X6:X35" type="list">
      <formula1>"In stock,Low stock,Out of stock,Unconfirmed"</formula1>
      <formula2>0</formula2>
    </dataValidation>
    <dataValidation allowBlank="true" error="Daily spend must be between 0 and 200. The approved daily cap is R$20." errorStyle="stop" errorTitle="Spend out of range" operator="between" showDropDown="false" showErrorMessage="false" showInputMessage="false" sqref="H6:H35" type="decimal">
      <formula1>0</formula1>
      <formula2>200</formula2>
    </dataValidation>
    <dataValidation allowBlank="true" error="Contribution margin must be entered as a decimal between 0 and 1 (e.g. 0.10)." errorStyle="stop" errorTitle="Invalid margin" operator="between" showDropDown="false" showErrorMessage="false" showInputMessage="false" sqref="T6:T35" type="decimal">
      <formula1>0</formula1>
      <formula2>1</formula2>
    </dataValidation>
  </dataValidations>
  <printOptions headings="false" gridLines="false" gridLinesSet="true" horizontalCentered="false" verticalCentered="false"/>
  <pageMargins left="0.3" right="0.3" top="0.6" bottom="0.5" header="0.5" footer="0.5"/>
  <pageSetup paperSize="1" scale="62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&amp;L&amp;9 Daily Input — 30-Day Paid Media Ledger  ·  MQ-REV-01&amp;R&amp;8 Assumptions (start date, contribution margin, R$20 daily cap, R$600 ceiling) are in row 3 of the worksheet</oddHeader>
    <oddFooter>&amp;C&amp;8 Daily Input · page &amp;P of 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9"/>
  </cols>
  <sheetData>
    <row r="2" customFormat="false" ht="24" hidden="false" customHeight="true" outlineLevel="0" collapsed="false">
      <c r="B2" s="31" t="s">
        <v>71</v>
      </c>
      <c r="E2" s="60" t="s">
        <v>72</v>
      </c>
      <c r="F2" s="60"/>
      <c r="G2" s="60"/>
      <c r="H2" s="61" t="n">
        <f aca="false">'Daily Input'!$E$3</f>
        <v>0.1</v>
      </c>
    </row>
    <row r="3" customFormat="false" ht="31.5" hidden="false" customHeight="true" outlineLevel="0" collapsed="false">
      <c r="B3" s="32" t="s">
        <v>37</v>
      </c>
      <c r="C3" s="62" t="n">
        <f aca="false">'Daily Input'!$I$3</f>
        <v>600</v>
      </c>
      <c r="D3" s="32" t="s">
        <v>73</v>
      </c>
      <c r="E3" s="63" t="n">
        <f aca="false">IF(N('Daily Input'!$E$3)=0,"",1/'Daily Input'!$E$3)</f>
        <v>10</v>
      </c>
      <c r="F3" s="32" t="s">
        <v>74</v>
      </c>
      <c r="G3" s="35" t="n">
        <v>40</v>
      </c>
    </row>
    <row r="4" customFormat="false" ht="25.5" hidden="false" customHeight="true" outlineLevel="0" collapsed="false">
      <c r="B4" s="36" t="s">
        <v>75</v>
      </c>
      <c r="C4" s="36"/>
      <c r="D4" s="36"/>
      <c r="E4" s="36"/>
      <c r="F4" s="36"/>
      <c r="G4" s="36"/>
      <c r="H4" s="36"/>
    </row>
    <row r="5" customFormat="false" ht="30" hidden="false" customHeight="true" outlineLevel="0" collapsed="false"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</row>
    <row r="6" customFormat="false" ht="15" hidden="false" customHeight="false" outlineLevel="0" collapsed="false">
      <c r="B6" s="64" t="s">
        <v>76</v>
      </c>
      <c r="C6" s="65" t="s">
        <v>77</v>
      </c>
      <c r="D6" s="65" t="s">
        <v>78</v>
      </c>
      <c r="E6" s="65" t="s">
        <v>79</v>
      </c>
      <c r="F6" s="65" t="s">
        <v>80</v>
      </c>
      <c r="G6" s="65" t="s">
        <v>81</v>
      </c>
      <c r="H6" s="65" t="s">
        <v>82</v>
      </c>
    </row>
    <row r="7" customFormat="false" ht="15.75" hidden="false" customHeight="true" outlineLevel="0" collapsed="false">
      <c r="B7" s="66" t="s">
        <v>83</v>
      </c>
      <c r="C7" s="66"/>
      <c r="D7" s="66"/>
      <c r="E7" s="66"/>
      <c r="F7" s="66"/>
      <c r="G7" s="66"/>
      <c r="H7" s="66"/>
    </row>
    <row r="8" customFormat="false" ht="15.75" hidden="false" customHeight="true" outlineLevel="0" collapsed="false">
      <c r="B8" s="11" t="s">
        <v>17</v>
      </c>
      <c r="C8" s="12" t="n">
        <f aca="false">SUMIFS('Daily Input'!$H$6:$H$35,'Daily Input'!$C$6:$C$35,C$6)</f>
        <v>0</v>
      </c>
      <c r="D8" s="12" t="n">
        <f aca="false">SUMIFS('Daily Input'!$H$6:$H$35,'Daily Input'!$C$6:$C$35,D$6)</f>
        <v>0</v>
      </c>
      <c r="E8" s="12" t="n">
        <f aca="false">SUMIFS('Daily Input'!$H$6:$H$35,'Daily Input'!$C$6:$C$35,E$6)</f>
        <v>0</v>
      </c>
      <c r="F8" s="12" t="n">
        <f aca="false">SUMIFS('Daily Input'!$H$6:$H$35,'Daily Input'!$C$6:$C$35,F$6)</f>
        <v>0</v>
      </c>
      <c r="G8" s="12" t="n">
        <f aca="false">SUMIFS('Daily Input'!$H$6:$H$35,'Daily Input'!$C$6:$C$35,G$6)</f>
        <v>0</v>
      </c>
      <c r="H8" s="13" t="n">
        <f aca="false">SUM('Daily Input'!$H$6:$H$35)</f>
        <v>0</v>
      </c>
    </row>
    <row r="9" customFormat="false" ht="15.75" hidden="false" customHeight="true" outlineLevel="0" collapsed="false">
      <c r="B9" s="14" t="s">
        <v>53</v>
      </c>
      <c r="C9" s="15" t="n">
        <f aca="false">SUMIFS('Daily Input'!$Q$6:$Q$35,'Daily Input'!$C$6:$C$35,C$6)</f>
        <v>0</v>
      </c>
      <c r="D9" s="15" t="n">
        <f aca="false">SUMIFS('Daily Input'!$Q$6:$Q$35,'Daily Input'!$C$6:$C$35,D$6)</f>
        <v>0</v>
      </c>
      <c r="E9" s="15" t="n">
        <f aca="false">SUMIFS('Daily Input'!$Q$6:$Q$35,'Daily Input'!$C$6:$C$35,E$6)</f>
        <v>0</v>
      </c>
      <c r="F9" s="15" t="n">
        <f aca="false">SUMIFS('Daily Input'!$Q$6:$Q$35,'Daily Input'!$C$6:$C$35,F$6)</f>
        <v>0</v>
      </c>
      <c r="G9" s="15" t="n">
        <f aca="false">SUMIFS('Daily Input'!$Q$6:$Q$35,'Daily Input'!$C$6:$C$35,G$6)</f>
        <v>0</v>
      </c>
      <c r="H9" s="16" t="n">
        <f aca="false">SUM('Daily Input'!$Q$6:$Q$35)</f>
        <v>0</v>
      </c>
    </row>
    <row r="10" customFormat="false" ht="15.75" hidden="false" customHeight="true" outlineLevel="0" collapsed="false">
      <c r="B10" s="11" t="s">
        <v>54</v>
      </c>
      <c r="C10" s="12" t="n">
        <f aca="false">SUMIFS('Daily Input'!$R$6:$R$35,'Daily Input'!$C$6:$C$35,C$6)</f>
        <v>0</v>
      </c>
      <c r="D10" s="12" t="n">
        <f aca="false">SUMIFS('Daily Input'!$R$6:$R$35,'Daily Input'!$C$6:$C$35,D$6)</f>
        <v>0</v>
      </c>
      <c r="E10" s="12" t="n">
        <f aca="false">SUMIFS('Daily Input'!$R$6:$R$35,'Daily Input'!$C$6:$C$35,E$6)</f>
        <v>0</v>
      </c>
      <c r="F10" s="12" t="n">
        <f aca="false">SUMIFS('Daily Input'!$R$6:$R$35,'Daily Input'!$C$6:$C$35,F$6)</f>
        <v>0</v>
      </c>
      <c r="G10" s="12" t="n">
        <f aca="false">SUMIFS('Daily Input'!$R$6:$R$35,'Daily Input'!$C$6:$C$35,G$6)</f>
        <v>0</v>
      </c>
      <c r="H10" s="13" t="n">
        <f aca="false">SUM('Daily Input'!$R$6:$R$35)</f>
        <v>0</v>
      </c>
    </row>
    <row r="11" customFormat="false" ht="15.75" hidden="false" customHeight="true" outlineLevel="0" collapsed="false">
      <c r="B11" s="14" t="s">
        <v>18</v>
      </c>
      <c r="C11" s="15" t="n">
        <f aca="false">SUMIFS('Daily Input'!$S$6:$S$35,'Daily Input'!$C$6:$C$35,C$6)</f>
        <v>0</v>
      </c>
      <c r="D11" s="15" t="n">
        <f aca="false">SUMIFS('Daily Input'!$S$6:$S$35,'Daily Input'!$C$6:$C$35,D$6)</f>
        <v>0</v>
      </c>
      <c r="E11" s="15" t="n">
        <f aca="false">SUMIFS('Daily Input'!$S$6:$S$35,'Daily Input'!$C$6:$C$35,E$6)</f>
        <v>0</v>
      </c>
      <c r="F11" s="15" t="n">
        <f aca="false">SUMIFS('Daily Input'!$S$6:$S$35,'Daily Input'!$C$6:$C$35,F$6)</f>
        <v>0</v>
      </c>
      <c r="G11" s="15" t="n">
        <f aca="false">SUMIFS('Daily Input'!$S$6:$S$35,'Daily Input'!$C$6:$C$35,G$6)</f>
        <v>0</v>
      </c>
      <c r="H11" s="16" t="n">
        <f aca="false">SUM('Daily Input'!$S$6:$S$35)</f>
        <v>0</v>
      </c>
    </row>
    <row r="12" customFormat="false" ht="15.75" hidden="false" customHeight="true" outlineLevel="0" collapsed="false">
      <c r="B12" s="11" t="s">
        <v>51</v>
      </c>
      <c r="C12" s="17" t="n">
        <f aca="false">SUMIFS('Daily Input'!$O$6:$O$35,'Daily Input'!$C$6:$C$35,C$6)</f>
        <v>0</v>
      </c>
      <c r="D12" s="17" t="n">
        <f aca="false">SUMIFS('Daily Input'!$O$6:$O$35,'Daily Input'!$C$6:$C$35,D$6)</f>
        <v>0</v>
      </c>
      <c r="E12" s="17" t="n">
        <f aca="false">SUMIFS('Daily Input'!$O$6:$O$35,'Daily Input'!$C$6:$C$35,E$6)</f>
        <v>0</v>
      </c>
      <c r="F12" s="17" t="n">
        <f aca="false">SUMIFS('Daily Input'!$O$6:$O$35,'Daily Input'!$C$6:$C$35,F$6)</f>
        <v>0</v>
      </c>
      <c r="G12" s="17" t="n">
        <f aca="false">SUMIFS('Daily Input'!$O$6:$O$35,'Daily Input'!$C$6:$C$35,G$6)</f>
        <v>0</v>
      </c>
      <c r="H12" s="18" t="n">
        <f aca="false">SUM('Daily Input'!$O$6:$O$35)</f>
        <v>0</v>
      </c>
    </row>
    <row r="13" customFormat="false" ht="15.75" hidden="false" customHeight="true" outlineLevel="0" collapsed="false">
      <c r="B13" s="14" t="s">
        <v>19</v>
      </c>
      <c r="C13" s="67" t="n">
        <f aca="false">SUMIFS('Daily Input'!$P$6:$P$35,'Daily Input'!$C$6:$C$35,C$6)</f>
        <v>0</v>
      </c>
      <c r="D13" s="67" t="n">
        <f aca="false">SUMIFS('Daily Input'!$P$6:$P$35,'Daily Input'!$C$6:$C$35,D$6)</f>
        <v>0</v>
      </c>
      <c r="E13" s="67" t="n">
        <f aca="false">SUMIFS('Daily Input'!$P$6:$P$35,'Daily Input'!$C$6:$C$35,E$6)</f>
        <v>0</v>
      </c>
      <c r="F13" s="67" t="n">
        <f aca="false">SUMIFS('Daily Input'!$P$6:$P$35,'Daily Input'!$C$6:$C$35,F$6)</f>
        <v>0</v>
      </c>
      <c r="G13" s="67" t="n">
        <f aca="false">SUMIFS('Daily Input'!$P$6:$P$35,'Daily Input'!$C$6:$C$35,G$6)</f>
        <v>0</v>
      </c>
      <c r="H13" s="68" t="n">
        <f aca="false">SUM('Daily Input'!$P$6:$P$35)</f>
        <v>0</v>
      </c>
    </row>
    <row r="14" customFormat="false" ht="15.75" hidden="false" customHeight="true" outlineLevel="0" collapsed="false">
      <c r="B14" s="11" t="s">
        <v>20</v>
      </c>
      <c r="C14" s="44" t="str">
        <f aca="false">IF(N(C13)=0,"",C11/C13)</f>
        <v/>
      </c>
      <c r="D14" s="44" t="str">
        <f aca="false">IF(N(D13)=0,"",D11/D13)</f>
        <v/>
      </c>
      <c r="E14" s="44" t="str">
        <f aca="false">IF(N(E13)=0,"",E11/E13)</f>
        <v/>
      </c>
      <c r="F14" s="44" t="str">
        <f aca="false">IF(N(F13)=0,"",F11/F13)</f>
        <v/>
      </c>
      <c r="G14" s="44" t="str">
        <f aca="false">IF(N(G13)=0,"",G11/G13)</f>
        <v/>
      </c>
      <c r="H14" s="69" t="str">
        <f aca="false">IF(N(H13)=0,"",H11/H13)</f>
        <v/>
      </c>
    </row>
    <row r="15" customFormat="false" ht="15.75" hidden="false" customHeight="true" outlineLevel="0" collapsed="false">
      <c r="B15" s="14" t="s">
        <v>21</v>
      </c>
      <c r="C15" s="51" t="str">
        <f aca="false">IF(N(C11)=0,"",C16/C11)</f>
        <v/>
      </c>
      <c r="D15" s="51" t="str">
        <f aca="false">IF(N(D11)=0,"",D16/D11)</f>
        <v/>
      </c>
      <c r="E15" s="51" t="str">
        <f aca="false">IF(N(E11)=0,"",E16/E11)</f>
        <v/>
      </c>
      <c r="F15" s="51" t="str">
        <f aca="false">IF(N(F11)=0,"",F16/F11)</f>
        <v/>
      </c>
      <c r="G15" s="51" t="str">
        <f aca="false">IF(N(G11)=0,"",G16/G11)</f>
        <v/>
      </c>
      <c r="H15" s="70" t="str">
        <f aca="false">IF(N(H11)=0,"",H16/H11)</f>
        <v/>
      </c>
    </row>
    <row r="16" customFormat="false" ht="15.75" hidden="false" customHeight="true" outlineLevel="0" collapsed="false">
      <c r="B16" s="11" t="s">
        <v>22</v>
      </c>
      <c r="C16" s="12" t="n">
        <f aca="false">SUMIFS('Daily Input'!$AH$6:$AH$35,'Daily Input'!$C$6:$C$35,C$6)</f>
        <v>0</v>
      </c>
      <c r="D16" s="12" t="n">
        <f aca="false">SUMIFS('Daily Input'!$AH$6:$AH$35,'Daily Input'!$C$6:$C$35,D$6)</f>
        <v>0</v>
      </c>
      <c r="E16" s="12" t="n">
        <f aca="false">SUMIFS('Daily Input'!$AH$6:$AH$35,'Daily Input'!$C$6:$C$35,E$6)</f>
        <v>0</v>
      </c>
      <c r="F16" s="12" t="n">
        <f aca="false">SUMIFS('Daily Input'!$AH$6:$AH$35,'Daily Input'!$C$6:$C$35,F$6)</f>
        <v>0</v>
      </c>
      <c r="G16" s="12" t="n">
        <f aca="false">SUMIFS('Daily Input'!$AH$6:$AH$35,'Daily Input'!$C$6:$C$35,G$6)</f>
        <v>0</v>
      </c>
      <c r="H16" s="13" t="n">
        <f aca="false">SUM('Daily Input'!$AH$6:$AH$35)</f>
        <v>0</v>
      </c>
    </row>
    <row r="17" customFormat="false" ht="15.75" hidden="false" customHeight="true" outlineLevel="0" collapsed="false">
      <c r="B17" s="14" t="s">
        <v>56</v>
      </c>
      <c r="C17" s="15" t="n">
        <f aca="false">SUMIFS('Daily Input'!$U$6:$U$35,'Daily Input'!$C$6:$C$35,C$6)</f>
        <v>0</v>
      </c>
      <c r="D17" s="15" t="n">
        <f aca="false">SUMIFS('Daily Input'!$U$6:$U$35,'Daily Input'!$C$6:$C$35,D$6)</f>
        <v>0</v>
      </c>
      <c r="E17" s="15" t="n">
        <f aca="false">SUMIFS('Daily Input'!$U$6:$U$35,'Daily Input'!$C$6:$C$35,E$6)</f>
        <v>0</v>
      </c>
      <c r="F17" s="15" t="n">
        <f aca="false">SUMIFS('Daily Input'!$U$6:$U$35,'Daily Input'!$C$6:$C$35,F$6)</f>
        <v>0</v>
      </c>
      <c r="G17" s="15" t="n">
        <f aca="false">SUMIFS('Daily Input'!$U$6:$U$35,'Daily Input'!$C$6:$C$35,G$6)</f>
        <v>0</v>
      </c>
      <c r="H17" s="16" t="n">
        <f aca="false">SUM('Daily Input'!$U$6:$U$35)</f>
        <v>0</v>
      </c>
    </row>
    <row r="18" customFormat="false" ht="15.75" hidden="false" customHeight="true" outlineLevel="0" collapsed="false">
      <c r="B18" s="11" t="s">
        <v>23</v>
      </c>
      <c r="C18" s="44" t="str">
        <f aca="false">IF(N(C13)=0,"",C8/C13)</f>
        <v/>
      </c>
      <c r="D18" s="44" t="str">
        <f aca="false">IF(N(D13)=0,"",D8/D13)</f>
        <v/>
      </c>
      <c r="E18" s="44" t="str">
        <f aca="false">IF(N(E13)=0,"",E8/E13)</f>
        <v/>
      </c>
      <c r="F18" s="44" t="str">
        <f aca="false">IF(N(F13)=0,"",F8/F13)</f>
        <v/>
      </c>
      <c r="G18" s="44" t="str">
        <f aca="false">IF(N(G13)=0,"",G8/G13)</f>
        <v/>
      </c>
      <c r="H18" s="69" t="str">
        <f aca="false">IF(N(H13)=0,"",H8/H13)</f>
        <v/>
      </c>
    </row>
    <row r="19" customFormat="false" ht="15.75" hidden="false" customHeight="true" outlineLevel="0" collapsed="false">
      <c r="B19" s="14" t="s">
        <v>24</v>
      </c>
      <c r="C19" s="53" t="str">
        <f aca="false">IF(C14="","",C14*N(C15))</f>
        <v/>
      </c>
      <c r="D19" s="53" t="str">
        <f aca="false">IF(D14="","",D14*N(D15))</f>
        <v/>
      </c>
      <c r="E19" s="53" t="str">
        <f aca="false">IF(E14="","",E14*N(E15))</f>
        <v/>
      </c>
      <c r="F19" s="53" t="str">
        <f aca="false">IF(F14="","",F14*N(F15))</f>
        <v/>
      </c>
      <c r="G19" s="53" t="str">
        <f aca="false">IF(G14="","",G14*N(G15))</f>
        <v/>
      </c>
      <c r="H19" s="71" t="str">
        <f aca="false">IF(H14="","",H14*N(H15))</f>
        <v/>
      </c>
    </row>
    <row r="20" customFormat="false" ht="15.75" hidden="false" customHeight="true" outlineLevel="0" collapsed="false">
      <c r="B20" s="11" t="s">
        <v>84</v>
      </c>
      <c r="C20" s="45" t="str">
        <f aca="false">IF(N(C8)=0,"",C11/C8)</f>
        <v/>
      </c>
      <c r="D20" s="45" t="str">
        <f aca="false">IF(N(D8)=0,"",D11/D8)</f>
        <v/>
      </c>
      <c r="E20" s="45" t="str">
        <f aca="false">IF(N(E8)=0,"",E11/E8)</f>
        <v/>
      </c>
      <c r="F20" s="45" t="str">
        <f aca="false">IF(N(F8)=0,"",F11/F8)</f>
        <v/>
      </c>
      <c r="G20" s="45" t="str">
        <f aca="false">IF(N(G8)=0,"",G11/G8)</f>
        <v/>
      </c>
      <c r="H20" s="72" t="str">
        <f aca="false">IF(N(H8)=0,"",H11/H8)</f>
        <v/>
      </c>
    </row>
    <row r="21" customFormat="false" ht="15.75" hidden="false" customHeight="true" outlineLevel="0" collapsed="false">
      <c r="B21" s="14" t="s">
        <v>26</v>
      </c>
      <c r="C21" s="53" t="str">
        <f aca="false">IF(N(C8)+N(C11)=0,"",C16-C8-C17)</f>
        <v/>
      </c>
      <c r="D21" s="53" t="str">
        <f aca="false">IF(N(D8)+N(D11)=0,"",D16-D8-D17)</f>
        <v/>
      </c>
      <c r="E21" s="53" t="str">
        <f aca="false">IF(N(E8)+N(E11)=0,"",E16-E8-E17)</f>
        <v/>
      </c>
      <c r="F21" s="53" t="str">
        <f aca="false">IF(N(F8)+N(F11)=0,"",F16-F8-F17)</f>
        <v/>
      </c>
      <c r="G21" s="53" t="str">
        <f aca="false">IF(N(G8)+N(G11)=0,"",G16-G8-G17)</f>
        <v/>
      </c>
      <c r="H21" s="71" t="str">
        <f aca="false">IF(N(H8)+N(H11)=0,"",H16-H8-H17)</f>
        <v/>
      </c>
    </row>
    <row r="22" customFormat="false" ht="15.75" hidden="false" customHeight="true" outlineLevel="0" collapsed="false">
      <c r="B22" s="11" t="s">
        <v>27</v>
      </c>
      <c r="C22" s="44" t="str">
        <f aca="false">IF(C21="","",MAX(0,C21))</f>
        <v/>
      </c>
      <c r="D22" s="44" t="str">
        <f aca="false">IF(D21="","",MAX(0,D21))</f>
        <v/>
      </c>
      <c r="E22" s="44" t="str">
        <f aca="false">IF(E21="","",MAX(0,E21))</f>
        <v/>
      </c>
      <c r="F22" s="44" t="str">
        <f aca="false">IF(F21="","",MAX(0,F21))</f>
        <v/>
      </c>
      <c r="G22" s="44" t="str">
        <f aca="false">IF(G21="","",MAX(0,G21))</f>
        <v/>
      </c>
      <c r="H22" s="69" t="str">
        <f aca="false">IF(H21="","",MAX(0,H21))</f>
        <v/>
      </c>
    </row>
    <row r="23" customFormat="false" ht="15.75" hidden="false" customHeight="true" outlineLevel="0" collapsed="false">
      <c r="B23" s="14" t="s">
        <v>85</v>
      </c>
      <c r="C23" s="54" t="n">
        <f aca="false">IF(N(C15)=0,$E$3,1/C15)</f>
        <v>10</v>
      </c>
      <c r="D23" s="54" t="n">
        <f aca="false">IF(N(D15)=0,$E$3,1/D15)</f>
        <v>10</v>
      </c>
      <c r="E23" s="54" t="n">
        <f aca="false">IF(N(E15)=0,$E$3,1/E15)</f>
        <v>10</v>
      </c>
      <c r="F23" s="54" t="n">
        <f aca="false">IF(N(F15)=0,$E$3,1/F15)</f>
        <v>10</v>
      </c>
      <c r="G23" s="54" t="n">
        <f aca="false">IF(N(G15)=0,$E$3,1/G15)</f>
        <v>10</v>
      </c>
      <c r="H23" s="73" t="n">
        <f aca="false">IF(N(H15)=0,$E$3,1/H15)</f>
        <v>10</v>
      </c>
    </row>
    <row r="24" customFormat="false" ht="15.75" hidden="false" customHeight="true" outlineLevel="0" collapsed="false"/>
    <row r="25" customFormat="false" ht="15.75" hidden="false" customHeight="true" outlineLevel="0" collapsed="false">
      <c r="B25" s="66" t="s">
        <v>86</v>
      </c>
      <c r="C25" s="66"/>
      <c r="D25" s="66"/>
      <c r="E25" s="66"/>
      <c r="F25" s="66"/>
      <c r="G25" s="66"/>
      <c r="H25" s="66"/>
    </row>
    <row r="26" customFormat="false" ht="15.75" hidden="false" customHeight="true" outlineLevel="0" collapsed="false">
      <c r="B26" s="11" t="s">
        <v>45</v>
      </c>
      <c r="C26" s="17" t="n">
        <f aca="false">SUMIFS('Daily Input'!$I$6:$I$35,'Daily Input'!$C$6:$C$35,C$6)</f>
        <v>0</v>
      </c>
      <c r="D26" s="17" t="n">
        <f aca="false">SUMIFS('Daily Input'!$I$6:$I$35,'Daily Input'!$C$6:$C$35,D$6)</f>
        <v>0</v>
      </c>
      <c r="E26" s="17" t="n">
        <f aca="false">SUMIFS('Daily Input'!$I$6:$I$35,'Daily Input'!$C$6:$C$35,E$6)</f>
        <v>0</v>
      </c>
      <c r="F26" s="17" t="n">
        <f aca="false">SUMIFS('Daily Input'!$I$6:$I$35,'Daily Input'!$C$6:$C$35,F$6)</f>
        <v>0</v>
      </c>
      <c r="G26" s="17" t="n">
        <f aca="false">SUMIFS('Daily Input'!$I$6:$I$35,'Daily Input'!$C$6:$C$35,G$6)</f>
        <v>0</v>
      </c>
      <c r="H26" s="18" t="n">
        <f aca="false">SUM('Daily Input'!$I$6:$I$35)</f>
        <v>0</v>
      </c>
    </row>
    <row r="27" customFormat="false" ht="15.75" hidden="false" customHeight="true" outlineLevel="0" collapsed="false">
      <c r="B27" s="14" t="s">
        <v>46</v>
      </c>
      <c r="C27" s="67" t="n">
        <f aca="false">SUMIFS('Daily Input'!$J$6:$J$35,'Daily Input'!$C$6:$C$35,C$6)</f>
        <v>0</v>
      </c>
      <c r="D27" s="67" t="n">
        <f aca="false">SUMIFS('Daily Input'!$J$6:$J$35,'Daily Input'!$C$6:$C$35,D$6)</f>
        <v>0</v>
      </c>
      <c r="E27" s="67" t="n">
        <f aca="false">SUMIFS('Daily Input'!$J$6:$J$35,'Daily Input'!$C$6:$C$35,E$6)</f>
        <v>0</v>
      </c>
      <c r="F27" s="67" t="n">
        <f aca="false">SUMIFS('Daily Input'!$J$6:$J$35,'Daily Input'!$C$6:$C$35,F$6)</f>
        <v>0</v>
      </c>
      <c r="G27" s="67" t="n">
        <f aca="false">SUMIFS('Daily Input'!$J$6:$J$35,'Daily Input'!$C$6:$C$35,G$6)</f>
        <v>0</v>
      </c>
      <c r="H27" s="68" t="n">
        <f aca="false">SUM('Daily Input'!$J$6:$J$35)</f>
        <v>0</v>
      </c>
    </row>
    <row r="28" customFormat="false" ht="15.75" hidden="false" customHeight="true" outlineLevel="0" collapsed="false">
      <c r="B28" s="11" t="s">
        <v>47</v>
      </c>
      <c r="C28" s="17" t="n">
        <f aca="false">SUMIFS('Daily Input'!$K$6:$K$35,'Daily Input'!$C$6:$C$35,C$6)</f>
        <v>0</v>
      </c>
      <c r="D28" s="17" t="n">
        <f aca="false">SUMIFS('Daily Input'!$K$6:$K$35,'Daily Input'!$C$6:$C$35,D$6)</f>
        <v>0</v>
      </c>
      <c r="E28" s="17" t="n">
        <f aca="false">SUMIFS('Daily Input'!$K$6:$K$35,'Daily Input'!$C$6:$C$35,E$6)</f>
        <v>0</v>
      </c>
      <c r="F28" s="17" t="n">
        <f aca="false">SUMIFS('Daily Input'!$K$6:$K$35,'Daily Input'!$C$6:$C$35,F$6)</f>
        <v>0</v>
      </c>
      <c r="G28" s="17" t="n">
        <f aca="false">SUMIFS('Daily Input'!$K$6:$K$35,'Daily Input'!$C$6:$C$35,G$6)</f>
        <v>0</v>
      </c>
      <c r="H28" s="18" t="n">
        <f aca="false">SUM('Daily Input'!$K$6:$K$35)</f>
        <v>0</v>
      </c>
    </row>
    <row r="29" customFormat="false" ht="15.75" hidden="false" customHeight="true" outlineLevel="0" collapsed="false">
      <c r="B29" s="14" t="s">
        <v>48</v>
      </c>
      <c r="C29" s="67" t="n">
        <f aca="false">SUMIFS('Daily Input'!$L$6:$L$35,'Daily Input'!$C$6:$C$35,C$6)</f>
        <v>0</v>
      </c>
      <c r="D29" s="67" t="n">
        <f aca="false">SUMIFS('Daily Input'!$L$6:$L$35,'Daily Input'!$C$6:$C$35,D$6)</f>
        <v>0</v>
      </c>
      <c r="E29" s="67" t="n">
        <f aca="false">SUMIFS('Daily Input'!$L$6:$L$35,'Daily Input'!$C$6:$C$35,E$6)</f>
        <v>0</v>
      </c>
      <c r="F29" s="67" t="n">
        <f aca="false">SUMIFS('Daily Input'!$L$6:$L$35,'Daily Input'!$C$6:$C$35,F$6)</f>
        <v>0</v>
      </c>
      <c r="G29" s="67" t="n">
        <f aca="false">SUMIFS('Daily Input'!$L$6:$L$35,'Daily Input'!$C$6:$C$35,G$6)</f>
        <v>0</v>
      </c>
      <c r="H29" s="68" t="n">
        <f aca="false">SUM('Daily Input'!$L$6:$L$35)</f>
        <v>0</v>
      </c>
    </row>
    <row r="30" customFormat="false" ht="15.75" hidden="false" customHeight="true" outlineLevel="0" collapsed="false">
      <c r="B30" s="11" t="s">
        <v>49</v>
      </c>
      <c r="C30" s="17" t="n">
        <f aca="false">SUMIFS('Daily Input'!$M$6:$M$35,'Daily Input'!$C$6:$C$35,C$6)</f>
        <v>0</v>
      </c>
      <c r="D30" s="17" t="n">
        <f aca="false">SUMIFS('Daily Input'!$M$6:$M$35,'Daily Input'!$C$6:$C$35,D$6)</f>
        <v>0</v>
      </c>
      <c r="E30" s="17" t="n">
        <f aca="false">SUMIFS('Daily Input'!$M$6:$M$35,'Daily Input'!$C$6:$C$35,E$6)</f>
        <v>0</v>
      </c>
      <c r="F30" s="17" t="n">
        <f aca="false">SUMIFS('Daily Input'!$M$6:$M$35,'Daily Input'!$C$6:$C$35,F$6)</f>
        <v>0</v>
      </c>
      <c r="G30" s="17" t="n">
        <f aca="false">SUMIFS('Daily Input'!$M$6:$M$35,'Daily Input'!$C$6:$C$35,G$6)</f>
        <v>0</v>
      </c>
      <c r="H30" s="18" t="n">
        <f aca="false">SUM('Daily Input'!$M$6:$M$35)</f>
        <v>0</v>
      </c>
    </row>
    <row r="31" customFormat="false" ht="15.75" hidden="false" customHeight="true" outlineLevel="0" collapsed="false">
      <c r="B31" s="14" t="s">
        <v>50</v>
      </c>
      <c r="C31" s="67" t="n">
        <f aca="false">SUMIFS('Daily Input'!$N$6:$N$35,'Daily Input'!$C$6:$C$35,C$6)</f>
        <v>0</v>
      </c>
      <c r="D31" s="67" t="n">
        <f aca="false">SUMIFS('Daily Input'!$N$6:$N$35,'Daily Input'!$C$6:$C$35,D$6)</f>
        <v>0</v>
      </c>
      <c r="E31" s="67" t="n">
        <f aca="false">SUMIFS('Daily Input'!$N$6:$N$35,'Daily Input'!$C$6:$C$35,E$6)</f>
        <v>0</v>
      </c>
      <c r="F31" s="67" t="n">
        <f aca="false">SUMIFS('Daily Input'!$N$6:$N$35,'Daily Input'!$C$6:$C$35,F$6)</f>
        <v>0</v>
      </c>
      <c r="G31" s="67" t="n">
        <f aca="false">SUMIFS('Daily Input'!$N$6:$N$35,'Daily Input'!$C$6:$C$35,G$6)</f>
        <v>0</v>
      </c>
      <c r="H31" s="68" t="n">
        <f aca="false">SUM('Daily Input'!$N$6:$N$35)</f>
        <v>0</v>
      </c>
    </row>
    <row r="32" customFormat="false" ht="15.75" hidden="false" customHeight="true" outlineLevel="0" collapsed="false">
      <c r="B32" s="11" t="s">
        <v>87</v>
      </c>
      <c r="C32" s="42" t="str">
        <f aca="false">IF(N(C26)=0,"",C27/C26)</f>
        <v/>
      </c>
      <c r="D32" s="42" t="str">
        <f aca="false">IF(N(D26)=0,"",D27/D26)</f>
        <v/>
      </c>
      <c r="E32" s="42" t="str">
        <f aca="false">IF(N(E26)=0,"",E27/E26)</f>
        <v/>
      </c>
      <c r="F32" s="42" t="str">
        <f aca="false">IF(N(F26)=0,"",F27/F26)</f>
        <v/>
      </c>
      <c r="G32" s="42" t="str">
        <f aca="false">IF(N(G26)=0,"",G27/G26)</f>
        <v/>
      </c>
      <c r="H32" s="74" t="str">
        <f aca="false">IF(N(H26)=0,"",H27/H26)</f>
        <v/>
      </c>
    </row>
    <row r="33" customFormat="false" ht="15.75" hidden="false" customHeight="true" outlineLevel="0" collapsed="false">
      <c r="B33" s="14" t="s">
        <v>62</v>
      </c>
      <c r="C33" s="53" t="str">
        <f aca="false">IF(N(C27)=0,"",C8/C27)</f>
        <v/>
      </c>
      <c r="D33" s="53" t="str">
        <f aca="false">IF(N(D27)=0,"",D8/D27)</f>
        <v/>
      </c>
      <c r="E33" s="53" t="str">
        <f aca="false">IF(N(E27)=0,"",E8/E27)</f>
        <v/>
      </c>
      <c r="F33" s="53" t="str">
        <f aca="false">IF(N(F27)=0,"",F8/F27)</f>
        <v/>
      </c>
      <c r="G33" s="53" t="str">
        <f aca="false">IF(N(G27)=0,"",G8/G27)</f>
        <v/>
      </c>
      <c r="H33" s="71" t="str">
        <f aca="false">IF(N(H27)=0,"",H8/H27)</f>
        <v/>
      </c>
    </row>
    <row r="34" customFormat="false" ht="15.75" hidden="false" customHeight="true" outlineLevel="0" collapsed="false">
      <c r="B34" s="11" t="s">
        <v>88</v>
      </c>
      <c r="C34" s="44" t="str">
        <f aca="false">IF(N(C28)=0,"",C8/C28)</f>
        <v/>
      </c>
      <c r="D34" s="44" t="str">
        <f aca="false">IF(N(D28)=0,"",D8/D28)</f>
        <v/>
      </c>
      <c r="E34" s="44" t="str">
        <f aca="false">IF(N(E28)=0,"",E8/E28)</f>
        <v/>
      </c>
      <c r="F34" s="44" t="str">
        <f aca="false">IF(N(F28)=0,"",F8/F28)</f>
        <v/>
      </c>
      <c r="G34" s="44" t="str">
        <f aca="false">IF(N(G28)=0,"",G8/G28)</f>
        <v/>
      </c>
      <c r="H34" s="69" t="str">
        <f aca="false">IF(N(H28)=0,"",H8/H28)</f>
        <v/>
      </c>
    </row>
    <row r="35" customFormat="false" ht="15.75" hidden="false" customHeight="true" outlineLevel="0" collapsed="false">
      <c r="B35" s="14" t="s">
        <v>89</v>
      </c>
      <c r="C35" s="51" t="str">
        <f aca="false">IF(N(C27)=0,"",C28/C27)</f>
        <v/>
      </c>
      <c r="D35" s="51" t="str">
        <f aca="false">IF(N(D27)=0,"",D28/D27)</f>
        <v/>
      </c>
      <c r="E35" s="51" t="str">
        <f aca="false">IF(N(E27)=0,"",E28/E27)</f>
        <v/>
      </c>
      <c r="F35" s="51" t="str">
        <f aca="false">IF(N(F27)=0,"",F28/F27)</f>
        <v/>
      </c>
      <c r="G35" s="51" t="str">
        <f aca="false">IF(N(G27)=0,"",G28/G27)</f>
        <v/>
      </c>
      <c r="H35" s="70" t="str">
        <f aca="false">IF(N(H27)=0,"",H28/H27)</f>
        <v/>
      </c>
    </row>
    <row r="36" customFormat="false" ht="15.75" hidden="false" customHeight="true" outlineLevel="0" collapsed="false">
      <c r="B36" s="11" t="s">
        <v>90</v>
      </c>
      <c r="C36" s="42" t="str">
        <f aca="false">IF(N(C28)=0,"",C29/C28)</f>
        <v/>
      </c>
      <c r="D36" s="42" t="str">
        <f aca="false">IF(N(D28)=0,"",D29/D28)</f>
        <v/>
      </c>
      <c r="E36" s="42" t="str">
        <f aca="false">IF(N(E28)=0,"",E29/E28)</f>
        <v/>
      </c>
      <c r="F36" s="42" t="str">
        <f aca="false">IF(N(F28)=0,"",F29/F28)</f>
        <v/>
      </c>
      <c r="G36" s="42" t="str">
        <f aca="false">IF(N(G28)=0,"",G29/G28)</f>
        <v/>
      </c>
      <c r="H36" s="74" t="str">
        <f aca="false">IF(N(H28)=0,"",H29/H28)</f>
        <v/>
      </c>
    </row>
    <row r="37" customFormat="false" ht="15.75" hidden="false" customHeight="true" outlineLevel="0" collapsed="false">
      <c r="B37" s="14" t="s">
        <v>91</v>
      </c>
      <c r="C37" s="51" t="str">
        <f aca="false">IF(N(C29)=0,"",C30/C29)</f>
        <v/>
      </c>
      <c r="D37" s="51" t="str">
        <f aca="false">IF(N(D29)=0,"",D30/D29)</f>
        <v/>
      </c>
      <c r="E37" s="51" t="str">
        <f aca="false">IF(N(E29)=0,"",E30/E29)</f>
        <v/>
      </c>
      <c r="F37" s="51" t="str">
        <f aca="false">IF(N(F29)=0,"",F30/F29)</f>
        <v/>
      </c>
      <c r="G37" s="51" t="str">
        <f aca="false">IF(N(G29)=0,"",G30/G29)</f>
        <v/>
      </c>
      <c r="H37" s="70" t="str">
        <f aca="false">IF(N(H29)=0,"",H30/H29)</f>
        <v/>
      </c>
    </row>
    <row r="38" customFormat="false" ht="15.75" hidden="false" customHeight="true" outlineLevel="0" collapsed="false">
      <c r="B38" s="11" t="s">
        <v>92</v>
      </c>
      <c r="C38" s="42" t="str">
        <f aca="false">IF(N(C30)=0,"",C31/C30)</f>
        <v/>
      </c>
      <c r="D38" s="42" t="str">
        <f aca="false">IF(N(D30)=0,"",D31/D30)</f>
        <v/>
      </c>
      <c r="E38" s="42" t="str">
        <f aca="false">IF(N(E30)=0,"",E31/E30)</f>
        <v/>
      </c>
      <c r="F38" s="42" t="str">
        <f aca="false">IF(N(F30)=0,"",F31/F30)</f>
        <v/>
      </c>
      <c r="G38" s="42" t="str">
        <f aca="false">IF(N(G30)=0,"",G31/G30)</f>
        <v/>
      </c>
      <c r="H38" s="74" t="str">
        <f aca="false">IF(N(H30)=0,"",H31/H30)</f>
        <v/>
      </c>
    </row>
    <row r="39" customFormat="false" ht="15.75" hidden="false" customHeight="true" outlineLevel="0" collapsed="false">
      <c r="B39" s="14" t="s">
        <v>93</v>
      </c>
      <c r="C39" s="51" t="str">
        <f aca="false">IF(N(C31)=0,"",C13/C31)</f>
        <v/>
      </c>
      <c r="D39" s="51" t="str">
        <f aca="false">IF(N(D31)=0,"",D13/D31)</f>
        <v/>
      </c>
      <c r="E39" s="51" t="str">
        <f aca="false">IF(N(E31)=0,"",E13/E31)</f>
        <v/>
      </c>
      <c r="F39" s="51" t="str">
        <f aca="false">IF(N(F31)=0,"",F13/F31)</f>
        <v/>
      </c>
      <c r="G39" s="51" t="str">
        <f aca="false">IF(N(G31)=0,"",G13/G31)</f>
        <v/>
      </c>
      <c r="H39" s="70" t="str">
        <f aca="false">IF(N(H31)=0,"",H13/H31)</f>
        <v/>
      </c>
    </row>
    <row r="40" customFormat="false" ht="15.75" hidden="false" customHeight="true" outlineLevel="0" collapsed="false">
      <c r="B40" s="26" t="s">
        <v>94</v>
      </c>
      <c r="C40" s="17" t="n">
        <f aca="false">COUNTIFS('Daily Input'!$C$6:$C$35,C$6,'Daily Input'!$V$6:$V$35,"Missing")+COUNTIFS('Daily Input'!$C$6:$C$35,C$6,'Daily Input'!$V$6:$V$35,"Duplicated")+COUNTIFS('Daily Input'!$C$6:$C$35,C$6,'Daily Input'!$V$6:$V$35,"Discrepancy")+COUNTIFS('Daily Input'!$C$6:$C$35,C$6,'Daily Input'!$W$6:$W$35,"Failing")+COUNTIFS('Daily Input'!$C$6:$C$35,C$6,'Daily Input'!$X$6:$X$35,"Out of stock")+COUNTIFS('Daily Input'!$C$6:$C$35,C$6,'Daily Input'!$H$6:$H$35,"&gt;"&amp;'Daily Input'!$G$3)</f>
        <v>0</v>
      </c>
      <c r="D40" s="17" t="n">
        <f aca="false">COUNTIFS('Daily Input'!$C$6:$C$35,D$6,'Daily Input'!$V$6:$V$35,"Missing")+COUNTIFS('Daily Input'!$C$6:$C$35,D$6,'Daily Input'!$V$6:$V$35,"Duplicated")+COUNTIFS('Daily Input'!$C$6:$C$35,D$6,'Daily Input'!$V$6:$V$35,"Discrepancy")+COUNTIFS('Daily Input'!$C$6:$C$35,D$6,'Daily Input'!$W$6:$W$35,"Failing")+COUNTIFS('Daily Input'!$C$6:$C$35,D$6,'Daily Input'!$X$6:$X$35,"Out of stock")+COUNTIFS('Daily Input'!$C$6:$C$35,D$6,'Daily Input'!$H$6:$H$35,"&gt;"&amp;'Daily Input'!$G$3)</f>
        <v>0</v>
      </c>
      <c r="E40" s="17" t="n">
        <f aca="false">COUNTIFS('Daily Input'!$C$6:$C$35,E$6,'Daily Input'!$V$6:$V$35,"Missing")+COUNTIFS('Daily Input'!$C$6:$C$35,E$6,'Daily Input'!$V$6:$V$35,"Duplicated")+COUNTIFS('Daily Input'!$C$6:$C$35,E$6,'Daily Input'!$V$6:$V$35,"Discrepancy")+COUNTIFS('Daily Input'!$C$6:$C$35,E$6,'Daily Input'!$W$6:$W$35,"Failing")+COUNTIFS('Daily Input'!$C$6:$C$35,E$6,'Daily Input'!$X$6:$X$35,"Out of stock")+COUNTIFS('Daily Input'!$C$6:$C$35,E$6,'Daily Input'!$H$6:$H$35,"&gt;"&amp;'Daily Input'!$G$3)</f>
        <v>0</v>
      </c>
      <c r="F40" s="17" t="n">
        <f aca="false">COUNTIFS('Daily Input'!$C$6:$C$35,F$6,'Daily Input'!$V$6:$V$35,"Missing")+COUNTIFS('Daily Input'!$C$6:$C$35,F$6,'Daily Input'!$V$6:$V$35,"Duplicated")+COUNTIFS('Daily Input'!$C$6:$C$35,F$6,'Daily Input'!$V$6:$V$35,"Discrepancy")+COUNTIFS('Daily Input'!$C$6:$C$35,F$6,'Daily Input'!$W$6:$W$35,"Failing")+COUNTIFS('Daily Input'!$C$6:$C$35,F$6,'Daily Input'!$X$6:$X$35,"Out of stock")+COUNTIFS('Daily Input'!$C$6:$C$35,F$6,'Daily Input'!$H$6:$H$35,"&gt;"&amp;'Daily Input'!$G$3)</f>
        <v>0</v>
      </c>
      <c r="G40" s="17" t="n">
        <f aca="false">COUNTIFS('Daily Input'!$C$6:$C$35,G$6,'Daily Input'!$V$6:$V$35,"Missing")+COUNTIFS('Daily Input'!$C$6:$C$35,G$6,'Daily Input'!$V$6:$V$35,"Duplicated")+COUNTIFS('Daily Input'!$C$6:$C$35,G$6,'Daily Input'!$V$6:$V$35,"Discrepancy")+COUNTIFS('Daily Input'!$C$6:$C$35,G$6,'Daily Input'!$W$6:$W$35,"Failing")+COUNTIFS('Daily Input'!$C$6:$C$35,G$6,'Daily Input'!$X$6:$X$35,"Out of stock")+COUNTIFS('Daily Input'!$C$6:$C$35,G$6,'Daily Input'!$H$6:$H$35,"&gt;"&amp;'Daily Input'!$G$3)</f>
        <v>0</v>
      </c>
      <c r="H40" s="75" t="n">
        <f aca="false">SUM(C40:G40)</f>
        <v>0</v>
      </c>
    </row>
    <row r="41" customFormat="false" ht="30" hidden="false" customHeight="true" outlineLevel="0" collapsed="false">
      <c r="B41" s="23" t="s">
        <v>28</v>
      </c>
      <c r="C41" s="76" t="str">
        <f aca="false">IFERROR(CHOOSE(MATCH(MIN(C35:C39),C35:C39,0),"Click → Landing Page View","Landing Page View → Product View","Product View → Add to Cart","Add to Cart → Checkout","Checkout → Purchase"),"N/A")</f>
        <v>N/A</v>
      </c>
      <c r="D41" s="76" t="str">
        <f aca="false">IFERROR(CHOOSE(MATCH(MIN(D35:D39),D35:D39,0),"Click → Landing Page View","Landing Page View → Product View","Product View → Add to Cart","Add to Cart → Checkout","Checkout → Purchase"),"N/A")</f>
        <v>N/A</v>
      </c>
      <c r="E41" s="76" t="str">
        <f aca="false">IFERROR(CHOOSE(MATCH(MIN(E35:E39),E35:E39,0),"Click → Landing Page View","Landing Page View → Product View","Product View → Add to Cart","Add to Cart → Checkout","Checkout → Purchase"),"N/A")</f>
        <v>N/A</v>
      </c>
      <c r="F41" s="76" t="str">
        <f aca="false">IFERROR(CHOOSE(MATCH(MIN(F35:F39),F35:F39,0),"Click → Landing Page View","Landing Page View → Product View","Product View → Add to Cart","Add to Cart → Checkout","Checkout → Purchase"),"N/A")</f>
        <v>N/A</v>
      </c>
      <c r="G41" s="76" t="str">
        <f aca="false">IFERROR(CHOOSE(MATCH(MIN(G35:G39),G35:G39,0),"Click → Landing Page View","Landing Page View → Product View","Product View → Add to Cart","Add to Cart → Checkout","Checkout → Purchase"),"N/A")</f>
        <v>N/A</v>
      </c>
      <c r="H41" s="76" t="str">
        <f aca="false">IFERROR(CHOOSE(MATCH(MIN(H35:H39),H35:H39,0),"Click → Landing Page View","Landing Page View → Product View","Product View → Add to Cart","Add to Cart → Checkout","Checkout → Purchase"),"N/A")</f>
        <v>N/A</v>
      </c>
    </row>
    <row r="42" customFormat="false" ht="30" hidden="false" customHeight="true" outlineLevel="0" collapsed="false">
      <c r="B42" s="26" t="s">
        <v>95</v>
      </c>
      <c r="C42" s="77" t="str">
        <f aca="false">IF(AND(N(C28)&gt;=50,N(C30)=0),"50+ LPVs, 0 ATC — revise product, offer, message or landing match",IF(AND(N(C30)&gt;=10,N(C31)=0),"10+ ATCs, 0 checkout — inspect cart, shipping and checkout friction",IF(AND(N(C31)&gt;=5,N(C13)=0),"5+ checkouts, 0 purchase — inspect payment, final price, delivery and trust",IF(N(C8)=0,"No data","No diagnostic threshold breached"))))</f>
        <v>No data</v>
      </c>
      <c r="D42" s="77" t="str">
        <f aca="false">IF(AND(N(D28)&gt;=50,N(D30)=0),"50+ LPVs, 0 ATC — revise product, offer, message or landing match",IF(AND(N(D30)&gt;=10,N(D31)=0),"10+ ATCs, 0 checkout — inspect cart, shipping and checkout friction",IF(AND(N(D31)&gt;=5,N(D13)=0),"5+ checkouts, 0 purchase — inspect payment, final price, delivery and trust",IF(N(D8)=0,"No data","No diagnostic threshold breached"))))</f>
        <v>No data</v>
      </c>
      <c r="E42" s="77" t="str">
        <f aca="false">IF(AND(N(E28)&gt;=50,N(E30)=0),"50+ LPVs, 0 ATC — revise product, offer, message or landing match",IF(AND(N(E30)&gt;=10,N(E31)=0),"10+ ATCs, 0 checkout — inspect cart, shipping and checkout friction",IF(AND(N(E31)&gt;=5,N(E13)=0),"5+ checkouts, 0 purchase — inspect payment, final price, delivery and trust",IF(N(E8)=0,"No data","No diagnostic threshold breached"))))</f>
        <v>No data</v>
      </c>
      <c r="F42" s="77" t="str">
        <f aca="false">IF(AND(N(F28)&gt;=50,N(F30)=0),"50+ LPVs, 0 ATC — revise product, offer, message or landing match",IF(AND(N(F30)&gt;=10,N(F31)=0),"10+ ATCs, 0 checkout — inspect cart, shipping and checkout friction",IF(AND(N(F31)&gt;=5,N(F13)=0),"5+ checkouts, 0 purchase — inspect payment, final price, delivery and trust",IF(N(F8)=0,"No data","No diagnostic threshold breached"))))</f>
        <v>No data</v>
      </c>
      <c r="G42" s="77" t="str">
        <f aca="false">IF(AND(N(G28)&gt;=50,N(G30)=0),"50+ LPVs, 0 ATC — revise product, offer, message or landing match",IF(AND(N(G30)&gt;=10,N(G31)=0),"10+ ATCs, 0 checkout — inspect cart, shipping and checkout friction",IF(AND(N(G31)&gt;=5,N(G13)=0),"5+ checkouts, 0 purchase — inspect payment, final price, delivery and trust",IF(N(G8)=0,"No data","No diagnostic threshold breached"))))</f>
        <v>No data</v>
      </c>
      <c r="H42" s="77" t="str">
        <f aca="false">IF(AND(N(H28)&gt;=50,N(H30)=0),"50+ LPVs, 0 ATC — revise product, offer, message or landing match",IF(AND(N(H30)&gt;=10,N(H31)=0),"10+ ATCs, 0 checkout — inspect cart, shipping and checkout friction",IF(AND(N(H31)&gt;=5,N(H13)=0),"5+ checkouts, 0 purchase — inspect payment, final price, delivery and trust",IF(N(H8)=0,"No data","No diagnostic threshold breached"))))</f>
        <v>No data</v>
      </c>
    </row>
    <row r="43" customFormat="false" ht="30" hidden="false" customHeight="true" outlineLevel="0" collapsed="false">
      <c r="B43" s="23" t="s">
        <v>96</v>
      </c>
      <c r="C43" s="78" t="str">
        <f aca="false">IF(N(C40)&gt;0,"STOP",IF(N(C8)=0,"HOLD / INSUFFICIENT DATA",IF(AND($H$8&gt;=$C$3,N($H$13)=0),"STOP",IF(AND(N(C13)&gt;=2,N(C21)&gt;0),"CONTINUE",IF(N(C13)&gt;=1,"CHANGE ONE VARIABLE",IF(N(C8)&gt;=MAX($G$3,2*N(C19)),"CHANGE ONE VARIABLE","HOLD / INSUFFICIENT DATA"))))))</f>
        <v>HOLD / INSUFFICIENT DATA</v>
      </c>
      <c r="D43" s="78" t="str">
        <f aca="false">IF(N(D40)&gt;0,"STOP",IF(N(D8)=0,"HOLD / INSUFFICIENT DATA",IF(AND($H$8&gt;=$C$3,N($H$13)=0),"STOP",IF(AND(N(D13)&gt;=2,N(D21)&gt;0),"CONTINUE",IF(N(D13)&gt;=1,"CHANGE ONE VARIABLE",IF(N(D8)&gt;=MAX($G$3,2*N(D19)),"CHANGE ONE VARIABLE","HOLD / INSUFFICIENT DATA"))))))</f>
        <v>HOLD / INSUFFICIENT DATA</v>
      </c>
      <c r="E43" s="78" t="str">
        <f aca="false">IF(N(E40)&gt;0,"STOP",IF(N(E8)=0,"HOLD / INSUFFICIENT DATA",IF(AND($H$8&gt;=$C$3,N($H$13)=0),"STOP",IF(AND(N(E13)&gt;=2,N(E21)&gt;0),"CONTINUE",IF(N(E13)&gt;=1,"CHANGE ONE VARIABLE",IF(N(E8)&gt;=MAX($G$3,2*N(E19)),"CHANGE ONE VARIABLE","HOLD / INSUFFICIENT DATA"))))))</f>
        <v>HOLD / INSUFFICIENT DATA</v>
      </c>
      <c r="F43" s="78" t="str">
        <f aca="false">IF(N(F40)&gt;0,"STOP",IF(N(F8)=0,"HOLD / INSUFFICIENT DATA",IF(AND($H$8&gt;=$C$3,N($H$13)=0),"STOP",IF(AND(N(F13)&gt;=2,N(F21)&gt;0),"CONTINUE",IF(N(F13)&gt;=1,"CHANGE ONE VARIABLE",IF(N(F8)&gt;=MAX($G$3,2*N(F19)),"CHANGE ONE VARIABLE","HOLD / INSUFFICIENT DATA"))))))</f>
        <v>HOLD / INSUFFICIENT DATA</v>
      </c>
      <c r="G43" s="78" t="str">
        <f aca="false">IF(N(G40)&gt;0,"STOP",IF(N(G8)=0,"HOLD / INSUFFICIENT DATA",IF(AND($H$8&gt;=$C$3,N($H$13)=0),"STOP",IF(AND(N(G13)&gt;=2,N(G21)&gt;0),"CONTINUE",IF(N(G13)&gt;=1,"CHANGE ONE VARIABLE",IF(N(G8)&gt;=MAX($G$3,2*N(G19)),"CHANGE ONE VARIABLE","HOLD / INSUFFICIENT DATA"))))))</f>
        <v>HOLD / INSUFFICIENT DATA</v>
      </c>
      <c r="H43" s="78" t="str">
        <f aca="false">IF(N(H40)&gt;0,"STOP",IF(N(H8)=0,"HOLD / INSUFFICIENT DATA",IF(AND($H$8&gt;=$C$3,N($H$13)=0),"STOP",IF(AND(N(H13)&gt;=2,N(H21)&gt;0),"CONTINUE",IF(N(H13)&gt;=1,"CHANGE ONE VARIABLE",IF(N(H8)&gt;=MAX($G$3,2*N(H19)),"CHANGE ONE VARIABLE","HOLD / INSUFFICIENT DATA"))))))</f>
        <v>HOLD / INSUFFICIENT DATA</v>
      </c>
    </row>
    <row r="44" customFormat="false" ht="30" hidden="false" customHeight="true" outlineLevel="0" collapsed="false">
      <c r="B44" s="26" t="s">
        <v>30</v>
      </c>
      <c r="C44" s="79" t="str">
        <f aca="false">IF(N(C8)=0,"NO DATA",IF(N(C40)&gt;0,"HARD STOP CONDITION LOGGED",IF(N(C13)=0,"SPENDING — NO FULFILLED ORDER",IF(N(C21)&gt;0,"PROFITABLE — AT OR ABOVE BREAK-EVEN","BELOW BREAK-EVEN"))))</f>
        <v>NO DATA</v>
      </c>
      <c r="D44" s="79" t="str">
        <f aca="false">IF(N(D8)=0,"NO DATA",IF(N(D40)&gt;0,"HARD STOP CONDITION LOGGED",IF(N(D13)=0,"SPENDING — NO FULFILLED ORDER",IF(N(D21)&gt;0,"PROFITABLE — AT OR ABOVE BREAK-EVEN","BELOW BREAK-EVEN"))))</f>
        <v>NO DATA</v>
      </c>
      <c r="E44" s="79" t="str">
        <f aca="false">IF(N(E8)=0,"NO DATA",IF(N(E40)&gt;0,"HARD STOP CONDITION LOGGED",IF(N(E13)=0,"SPENDING — NO FULFILLED ORDER",IF(N(E21)&gt;0,"PROFITABLE — AT OR ABOVE BREAK-EVEN","BELOW BREAK-EVEN"))))</f>
        <v>NO DATA</v>
      </c>
      <c r="F44" s="79" t="str">
        <f aca="false">IF(N(F8)=0,"NO DATA",IF(N(F40)&gt;0,"HARD STOP CONDITION LOGGED",IF(N(F13)=0,"SPENDING — NO FULFILLED ORDER",IF(N(F21)&gt;0,"PROFITABLE — AT OR ABOVE BREAK-EVEN","BELOW BREAK-EVEN"))))</f>
        <v>NO DATA</v>
      </c>
      <c r="G44" s="79" t="str">
        <f aca="false">IF(N(G8)=0,"NO DATA",IF(N(G40)&gt;0,"HARD STOP CONDITION LOGGED",IF(N(G13)=0,"SPENDING — NO FULFILLED ORDER",IF(N(G21)&gt;0,"PROFITABLE — AT OR ABOVE BREAK-EVEN","BELOW BREAK-EVEN"))))</f>
        <v>NO DATA</v>
      </c>
      <c r="H44" s="79" t="str">
        <f aca="false">IF(N(H8)=0,"NO DATA",IF(N(H40)&gt;0,"HARD STOP CONDITION LOGGED",IF(N(H13)=0,"SPENDING — NO FULFILLED ORDER",IF(N(H21)&gt;0,"PROFITABLE — AT OR ABOVE BREAK-EVEN","BELOW BREAK-EVEN"))))</f>
        <v>NO DATA</v>
      </c>
    </row>
    <row r="47" customFormat="false" ht="18" hidden="false" customHeight="true" outlineLevel="0" collapsed="false">
      <c r="B47" s="66" t="s">
        <v>97</v>
      </c>
      <c r="C47" s="66"/>
      <c r="D47" s="66"/>
      <c r="E47" s="66"/>
      <c r="F47" s="66"/>
      <c r="G47" s="66"/>
      <c r="H47" s="66"/>
    </row>
    <row r="48" customFormat="false" ht="15" hidden="false" customHeight="false" outlineLevel="0" collapsed="false">
      <c r="C48" s="80" t="s">
        <v>98</v>
      </c>
      <c r="D48" s="80"/>
      <c r="E48" s="80" t="s">
        <v>99</v>
      </c>
      <c r="F48" s="80"/>
      <c r="G48" s="80" t="s">
        <v>100</v>
      </c>
      <c r="H48" s="80"/>
    </row>
    <row r="49" customFormat="false" ht="15" hidden="false" customHeight="false" outlineLevel="0" collapsed="false">
      <c r="B49" s="10" t="s">
        <v>10</v>
      </c>
      <c r="C49" s="10" t="s">
        <v>101</v>
      </c>
      <c r="D49" s="10" t="s">
        <v>102</v>
      </c>
      <c r="E49" s="10" t="s">
        <v>101</v>
      </c>
      <c r="F49" s="10" t="s">
        <v>102</v>
      </c>
      <c r="G49" s="10" t="s">
        <v>101</v>
      </c>
      <c r="H49" s="10" t="s">
        <v>102</v>
      </c>
    </row>
    <row r="50" customFormat="false" ht="15" hidden="false" customHeight="false" outlineLevel="0" collapsed="false">
      <c r="B50" s="14" t="s">
        <v>17</v>
      </c>
      <c r="C50" s="81" t="str">
        <f aca="false">IF(OR(N(C8)=0,N(D8)=0),"",D8-C8)</f>
        <v/>
      </c>
      <c r="D50" s="82" t="str">
        <f aca="false">IF(N(C8)=0,"",IFERROR((D8-C8)/ABS(C8),""))</f>
        <v/>
      </c>
      <c r="E50" s="81" t="str">
        <f aca="false">IF(OR(N(D8)=0,N(E8)=0),"",E8-D8)</f>
        <v/>
      </c>
      <c r="F50" s="82" t="str">
        <f aca="false">IF(N(D8)=0,"",IFERROR((E8-D8)/ABS(D8),""))</f>
        <v/>
      </c>
      <c r="G50" s="81" t="str">
        <f aca="false">IF(OR(N(E8)=0,N(F8)=0),"",F8-E8)</f>
        <v/>
      </c>
      <c r="H50" s="82" t="str">
        <f aca="false">IF(N(E8)=0,"",IFERROR((F8-E8)/ABS(E8),""))</f>
        <v/>
      </c>
    </row>
    <row r="51" customFormat="false" ht="15" hidden="false" customHeight="false" outlineLevel="0" collapsed="false">
      <c r="B51" s="14" t="s">
        <v>18</v>
      </c>
      <c r="C51" s="81" t="str">
        <f aca="false">IF(OR(N(C11)=0,N(D11)=0),"",D11-C11)</f>
        <v/>
      </c>
      <c r="D51" s="82" t="str">
        <f aca="false">IF(N(C11)=0,"",IFERROR((D11-C11)/ABS(C11),""))</f>
        <v/>
      </c>
      <c r="E51" s="81" t="str">
        <f aca="false">IF(OR(N(D11)=0,N(E11)=0),"",E11-D11)</f>
        <v/>
      </c>
      <c r="F51" s="82" t="str">
        <f aca="false">IF(N(D11)=0,"",IFERROR((E11-D11)/ABS(D11),""))</f>
        <v/>
      </c>
      <c r="G51" s="81" t="str">
        <f aca="false">IF(OR(N(E11)=0,N(F11)=0),"",F11-E11)</f>
        <v/>
      </c>
      <c r="H51" s="82" t="str">
        <f aca="false">IF(N(E11)=0,"",IFERROR((F11-E11)/ABS(E11),""))</f>
        <v/>
      </c>
    </row>
    <row r="52" customFormat="false" ht="15" hidden="false" customHeight="false" outlineLevel="0" collapsed="false">
      <c r="B52" s="14" t="s">
        <v>19</v>
      </c>
      <c r="C52" s="83" t="str">
        <f aca="false">IF(OR(N(C13)=0,N(D13)=0),"",D13-C13)</f>
        <v/>
      </c>
      <c r="D52" s="82" t="str">
        <f aca="false">IF(N(C13)=0,"",IFERROR((D13-C13)/ABS(C13),""))</f>
        <v/>
      </c>
      <c r="E52" s="83" t="str">
        <f aca="false">IF(OR(N(D13)=0,N(E13)=0),"",E13-D13)</f>
        <v/>
      </c>
      <c r="F52" s="82" t="str">
        <f aca="false">IF(N(D13)=0,"",IFERROR((E13-D13)/ABS(D13),""))</f>
        <v/>
      </c>
      <c r="G52" s="83" t="str">
        <f aca="false">IF(OR(N(E13)=0,N(F13)=0),"",F13-E13)</f>
        <v/>
      </c>
      <c r="H52" s="82" t="str">
        <f aca="false">IF(N(E13)=0,"",IFERROR((F13-E13)/ABS(E13),""))</f>
        <v/>
      </c>
    </row>
    <row r="53" customFormat="false" ht="15" hidden="false" customHeight="false" outlineLevel="0" collapsed="false">
      <c r="B53" s="14" t="s">
        <v>23</v>
      </c>
      <c r="C53" s="81" t="str">
        <f aca="false">IF(OR(N(C18)=0,N(D18)=0),"",D18-C18)</f>
        <v/>
      </c>
      <c r="D53" s="82" t="str">
        <f aca="false">IF(N(C18)=0,"",IFERROR((D18-C18)/ABS(C18),""))</f>
        <v/>
      </c>
      <c r="E53" s="81" t="str">
        <f aca="false">IF(OR(N(D18)=0,N(E18)=0),"",E18-D18)</f>
        <v/>
      </c>
      <c r="F53" s="82" t="str">
        <f aca="false">IF(N(D18)=0,"",IFERROR((E18-D18)/ABS(D18),""))</f>
        <v/>
      </c>
      <c r="G53" s="81" t="str">
        <f aca="false">IF(OR(N(E18)=0,N(F18)=0),"",F18-E18)</f>
        <v/>
      </c>
      <c r="H53" s="82" t="str">
        <f aca="false">IF(N(E18)=0,"",IFERROR((F18-E18)/ABS(E18),""))</f>
        <v/>
      </c>
    </row>
    <row r="54" customFormat="false" ht="15" hidden="false" customHeight="false" outlineLevel="0" collapsed="false">
      <c r="B54" s="14" t="s">
        <v>26</v>
      </c>
      <c r="C54" s="81" t="str">
        <f aca="false">IF(OR(N(C21)=0,N(D21)=0),"",D21-C21)</f>
        <v/>
      </c>
      <c r="D54" s="82" t="str">
        <f aca="false">IF(N(C21)=0,"",IFERROR((D21-C21)/ABS(C21),""))</f>
        <v/>
      </c>
      <c r="E54" s="81" t="str">
        <f aca="false">IF(OR(N(D21)=0,N(E21)=0),"",E21-D21)</f>
        <v/>
      </c>
      <c r="F54" s="82" t="str">
        <f aca="false">IF(N(D21)=0,"",IFERROR((E21-D21)/ABS(D21),""))</f>
        <v/>
      </c>
      <c r="G54" s="81" t="str">
        <f aca="false">IF(OR(N(E21)=0,N(F21)=0),"",F21-E21)</f>
        <v/>
      </c>
      <c r="H54" s="82" t="str">
        <f aca="false">IF(N(E21)=0,"",IFERROR((F21-E21)/ABS(E21),""))</f>
        <v/>
      </c>
    </row>
    <row r="56" customFormat="false" ht="15" hidden="false" customHeight="false" outlineLevel="0" collapsed="false">
      <c r="B56" s="84" t="s">
        <v>103</v>
      </c>
    </row>
  </sheetData>
  <mergeCells count="8">
    <mergeCell ref="E2:G2"/>
    <mergeCell ref="B4:H4"/>
    <mergeCell ref="B7:H7"/>
    <mergeCell ref="B25:H25"/>
    <mergeCell ref="B47:H47"/>
    <mergeCell ref="C48:D48"/>
    <mergeCell ref="E48:F48"/>
    <mergeCell ref="G48:H48"/>
  </mergeCells>
  <conditionalFormatting sqref="C43:H43">
    <cfRule type="cellIs" priority="2" operator="equal" aboveAverage="0" equalAverage="0" bottom="0" percent="0" rank="0" text="" dxfId="0">
      <formula>"CONTINUE"</formula>
    </cfRule>
    <cfRule type="cellIs" priority="3" operator="equal" aboveAverage="0" equalAverage="0" bottom="0" percent="0" rank="0" text="" dxfId="1">
      <formula>"CHANGE ONE VARIABLE"</formula>
    </cfRule>
    <cfRule type="cellIs" priority="4" operator="equal" aboveAverage="0" equalAverage="0" bottom="0" percent="0" rank="0" text="" dxfId="2">
      <formula>"HOLD / INSUFFICIENT DATA"</formula>
    </cfRule>
    <cfRule type="cellIs" priority="5" operator="equal" aboveAverage="0" equalAverage="0" bottom="0" percent="0" rank="0" text="" dxfId="3">
      <formula>"STOP"</formula>
    </cfRule>
  </conditionalFormatting>
  <conditionalFormatting sqref="C44:H44">
    <cfRule type="expression" priority="6" aboveAverage="0" equalAverage="0" bottom="0" percent="0" rank="0" text="" dxfId="0">
      <formula>ISNUMBER(SEARCH("PROFITABLE",C44))</formula>
    </cfRule>
    <cfRule type="expression" priority="7" aboveAverage="0" equalAverage="0" bottom="0" percent="0" rank="0" text="" dxfId="3">
      <formula>ISNUMBER(SEARCH("HARD STOP",C44))</formula>
    </cfRule>
    <cfRule type="expression" priority="8" aboveAverage="0" equalAverage="0" bottom="0" percent="0" rank="0" text="" dxfId="1">
      <formula>ISNUMBER(SEARCH("BELOW BREAK-EVEN",C44))</formula>
    </cfRule>
    <cfRule type="expression" priority="9" aboveAverage="0" equalAverage="0" bottom="0" percent="0" rank="0" text="" dxfId="2">
      <formula>ISNUMBER(SEARCH("NO DATA",C44))</formula>
    </cfRule>
  </conditionalFormatting>
  <conditionalFormatting sqref="C40:H40">
    <cfRule type="cellIs" priority="10" operator="greaterThan" aboveAverage="0" equalAverage="0" bottom="0" percent="0" rank="0" text="" dxfId="3">
      <formula>0</formula>
    </cfRule>
  </conditionalFormatting>
  <conditionalFormatting sqref="C21:H21">
    <cfRule type="cellIs" priority="11" operator="lessThan" aboveAverage="0" equalAverage="0" bottom="0" percent="0" rank="0" text="" dxfId="3">
      <formula>0</formula>
    </cfRule>
    <cfRule type="cellIs" priority="12" operator="greaterThan" aboveAverage="0" equalAverage="0" bottom="0" percent="0" rank="0" text="" dxfId="0">
      <formula>0</formula>
    </cfRule>
  </conditionalFormatting>
  <conditionalFormatting sqref="C20:H20">
    <cfRule type="cellIs" priority="13" operator="greaterThanOrEqual" aboveAverage="0" equalAverage="0" bottom="0" percent="0" rank="0" text="" dxfId="0">
      <formula>$E$3</formula>
    </cfRule>
    <cfRule type="cellIs" priority="14" operator="lessThan" aboveAverage="0" equalAverage="0" bottom="0" percent="0" rank="0" text="" dxfId="1">
      <formula>$E$3</formula>
    </cfRule>
  </conditionalFormatting>
  <conditionalFormatting sqref="C42:H42">
    <cfRule type="expression" priority="15" aboveAverage="0" equalAverage="0" bottom="0" percent="0" rank="0" text="" dxfId="1">
      <formula>AND(C42&lt;&gt;"No data",C42&lt;&gt;"No diagnostic threshold breached")</formula>
    </cfRule>
  </conditionalFormatting>
  <conditionalFormatting sqref="C18:H18">
    <cfRule type="expression" priority="16" aboveAverage="0" equalAverage="0" bottom="0" percent="0" rank="0" text="" dxfId="3">
      <formula>AND(ISNUMBER(C18),ISNUMBER(C19),C18&gt;C19)</formula>
    </cfRule>
    <cfRule type="expression" priority="17" aboveAverage="0" equalAverage="0" bottom="0" percent="0" rank="0" text="" dxfId="0">
      <formula>AND(ISNUMBER(C18),ISNUMBER(C19),C18&lt;=C19)</formula>
    </cfRule>
  </conditionalFormatting>
  <printOptions headings="false" gridLines="false" gridLinesSet="true" horizontalCentered="false" verticalCentered="false"/>
  <pageMargins left="0.4" right="0.4" top="0.4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Weekly Summary · 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3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10" min="3" style="0" width="18"/>
    <col collapsed="false" customWidth="true" hidden="false" outlineLevel="0" max="11" min="11" style="0" width="34"/>
  </cols>
  <sheetData>
    <row r="2" customFormat="false" ht="19.7" hidden="false" customHeight="false" outlineLevel="0" collapsed="false">
      <c r="B2" s="31" t="s">
        <v>104</v>
      </c>
    </row>
    <row r="3" customFormat="false" ht="15" hidden="false" customHeight="false" outlineLevel="0" collapsed="false">
      <c r="B3" s="2" t="s">
        <v>1</v>
      </c>
    </row>
    <row r="4" customFormat="false" ht="25.5" hidden="false" customHeight="true" outlineLevel="0" collapsed="false">
      <c r="B4" s="4" t="s">
        <v>105</v>
      </c>
      <c r="C4" s="4"/>
      <c r="D4" s="4"/>
      <c r="E4" s="4"/>
      <c r="F4" s="4"/>
      <c r="G4" s="4"/>
      <c r="H4" s="4"/>
      <c r="I4" s="4"/>
      <c r="J4" s="4"/>
      <c r="K4" s="4"/>
    </row>
    <row r="5" customFormat="false" ht="18" hidden="false" customHeight="true" outlineLevel="0" collapsed="false">
      <c r="B5" s="66" t="s">
        <v>106</v>
      </c>
      <c r="C5" s="66"/>
      <c r="D5" s="66"/>
      <c r="E5" s="66"/>
      <c r="F5" s="66"/>
      <c r="G5" s="66"/>
      <c r="H5" s="66"/>
      <c r="I5" s="66"/>
      <c r="J5" s="66"/>
      <c r="K5" s="66"/>
    </row>
    <row r="6" customFormat="false" ht="19.5" hidden="false" customHeight="true" outlineLevel="0" collapsed="false">
      <c r="B6" s="85" t="s">
        <v>107</v>
      </c>
      <c r="C6" s="86" t="n">
        <v>600</v>
      </c>
      <c r="D6" s="84" t="s">
        <v>108</v>
      </c>
    </row>
    <row r="7" customFormat="false" ht="19.5" hidden="false" customHeight="true" outlineLevel="0" collapsed="false">
      <c r="B7" s="85" t="s">
        <v>109</v>
      </c>
      <c r="C7" s="87" t="n">
        <v>0.1</v>
      </c>
      <c r="D7" s="84" t="s">
        <v>110</v>
      </c>
    </row>
    <row r="8" customFormat="false" ht="19.5" hidden="false" customHeight="true" outlineLevel="0" collapsed="false">
      <c r="B8" s="85" t="s">
        <v>111</v>
      </c>
      <c r="C8" s="86" t="n">
        <v>0</v>
      </c>
    </row>
    <row r="9" customFormat="false" ht="19.5" hidden="false" customHeight="true" outlineLevel="0" collapsed="false">
      <c r="B9" s="85" t="s">
        <v>112</v>
      </c>
      <c r="C9" s="88" t="n">
        <f aca="false">'Weekly Summary'!$H$11</f>
        <v>0</v>
      </c>
      <c r="D9" s="84" t="s">
        <v>113</v>
      </c>
    </row>
    <row r="10" customFormat="false" ht="24" hidden="false" customHeight="true" outlineLevel="0" collapsed="false">
      <c r="B10" s="89" t="s">
        <v>114</v>
      </c>
      <c r="C10" s="89"/>
      <c r="D10" s="89"/>
      <c r="E10" s="89"/>
      <c r="F10" s="89"/>
      <c r="G10" s="89"/>
      <c r="H10" s="89"/>
      <c r="I10" s="89"/>
      <c r="J10" s="89"/>
      <c r="K10" s="89"/>
    </row>
    <row r="12" customFormat="false" ht="18" hidden="false" customHeight="true" outlineLevel="0" collapsed="false">
      <c r="B12" s="66" t="s">
        <v>115</v>
      </c>
      <c r="C12" s="66"/>
      <c r="D12" s="66"/>
      <c r="E12" s="66"/>
      <c r="F12" s="66"/>
      <c r="G12" s="66"/>
      <c r="H12" s="66"/>
      <c r="I12" s="66"/>
      <c r="J12" s="66"/>
      <c r="K12" s="66"/>
    </row>
    <row r="13" customFormat="false" ht="49.5" hidden="false" customHeight="true" outlineLevel="0" collapsed="false">
      <c r="B13" s="10" t="s">
        <v>116</v>
      </c>
      <c r="C13" s="10" t="s">
        <v>117</v>
      </c>
      <c r="D13" s="10" t="s">
        <v>118</v>
      </c>
      <c r="E13" s="10" t="s">
        <v>119</v>
      </c>
      <c r="F13" s="10" t="s">
        <v>120</v>
      </c>
      <c r="G13" s="10" t="s">
        <v>22</v>
      </c>
      <c r="H13" s="10" t="s">
        <v>121</v>
      </c>
      <c r="I13" s="10" t="s">
        <v>122</v>
      </c>
      <c r="J13" s="10" t="s">
        <v>123</v>
      </c>
      <c r="K13" s="10" t="s">
        <v>124</v>
      </c>
    </row>
    <row r="14" customFormat="false" ht="24" hidden="false" customHeight="true" outlineLevel="0" collapsed="false">
      <c r="B14" s="23" t="s">
        <v>125</v>
      </c>
      <c r="C14" s="53" t="n">
        <f aca="false">$C$6</f>
        <v>600</v>
      </c>
      <c r="D14" s="90" t="n">
        <v>10</v>
      </c>
      <c r="E14" s="15" t="str">
        <f aca="false">IF(N($C$9)=0,"",$C$9)</f>
        <v/>
      </c>
      <c r="F14" s="53" t="n">
        <f aca="false">IF(C14="","",IF(N(E14)=0,C14*N(D14),E14))</f>
        <v>6000</v>
      </c>
      <c r="G14" s="53" t="n">
        <f aca="false">IF(F14="","",F14*$C$7)</f>
        <v>600</v>
      </c>
      <c r="H14" s="53" t="n">
        <f aca="false">$C$8</f>
        <v>0</v>
      </c>
      <c r="I14" s="53" t="n">
        <f aca="false">IF(F14="","",G14-C14-N(H14))</f>
        <v>0</v>
      </c>
      <c r="J14" s="53" t="n">
        <f aca="false">IF(I14="","",IF(I14&lt;0,"",C14+I14))</f>
        <v>600</v>
      </c>
      <c r="K14" s="91" t="str">
        <f aca="false">IF(I14="","HOLD — no budget available",IF(I14&lt;0,"STOP — automatic reinvestment halted",IF(I14=0,"HOLD — principal preserved, no profit to reinvest","REINVEST — release verified profit")))</f>
        <v>HOLD — principal preserved, no profit to reinvest</v>
      </c>
    </row>
    <row r="15" customFormat="false" ht="24" hidden="false" customHeight="true" outlineLevel="0" collapsed="false">
      <c r="B15" s="23" t="s">
        <v>126</v>
      </c>
      <c r="C15" s="53" t="n">
        <f aca="false">IF(J14="","",J14)</f>
        <v>600</v>
      </c>
      <c r="D15" s="90" t="n">
        <v>10</v>
      </c>
      <c r="E15" s="49"/>
      <c r="F15" s="53" t="n">
        <f aca="false">IF(C15="","",IF(N(E15)=0,C15*N(D15),E15))</f>
        <v>6000</v>
      </c>
      <c r="G15" s="53" t="n">
        <f aca="false">IF(F15="","",F15*$C$7)</f>
        <v>600</v>
      </c>
      <c r="H15" s="53" t="n">
        <f aca="false">$C$8</f>
        <v>0</v>
      </c>
      <c r="I15" s="53" t="n">
        <f aca="false">IF(F15="","",G15-C15-N(H15))</f>
        <v>0</v>
      </c>
      <c r="J15" s="53" t="n">
        <f aca="false">IF(I15="","",IF(I15&lt;0,"",C15+I15))</f>
        <v>600</v>
      </c>
      <c r="K15" s="91" t="str">
        <f aca="false">IF(I15="","HOLD — no budget available",IF(I15&lt;0,"STOP — automatic reinvestment halted",IF(I15=0,"HOLD — principal preserved, no profit to reinvest","REINVEST — release verified profit")))</f>
        <v>HOLD — principal preserved, no profit to reinvest</v>
      </c>
    </row>
    <row r="16" customFormat="false" ht="24" hidden="false" customHeight="true" outlineLevel="0" collapsed="false">
      <c r="B16" s="23" t="s">
        <v>127</v>
      </c>
      <c r="C16" s="53" t="n">
        <f aca="false">IF(J15="","",J15)</f>
        <v>600</v>
      </c>
      <c r="D16" s="90" t="n">
        <v>10</v>
      </c>
      <c r="E16" s="49"/>
      <c r="F16" s="53" t="n">
        <f aca="false">IF(C16="","",IF(N(E16)=0,C16*N(D16),E16))</f>
        <v>6000</v>
      </c>
      <c r="G16" s="53" t="n">
        <f aca="false">IF(F16="","",F16*$C$7)</f>
        <v>600</v>
      </c>
      <c r="H16" s="53" t="n">
        <f aca="false">$C$8</f>
        <v>0</v>
      </c>
      <c r="I16" s="53" t="n">
        <f aca="false">IF(F16="","",G16-C16-N(H16))</f>
        <v>0</v>
      </c>
      <c r="J16" s="53" t="n">
        <f aca="false">IF(I16="","",IF(I16&lt;0,"",C16+I16))</f>
        <v>600</v>
      </c>
      <c r="K16" s="91" t="str">
        <f aca="false">IF(I16="","HOLD — no budget available",IF(I16&lt;0,"STOP — automatic reinvestment halted",IF(I16=0,"HOLD — principal preserved, no profit to reinvest","REINVEST — release verified profit")))</f>
        <v>HOLD — principal preserved, no profit to reinvest</v>
      </c>
    </row>
    <row r="17" customFormat="false" ht="24" hidden="false" customHeight="true" outlineLevel="0" collapsed="false">
      <c r="B17" s="23" t="s">
        <v>128</v>
      </c>
      <c r="C17" s="53" t="n">
        <f aca="false">IF(J16="","",J16)</f>
        <v>600</v>
      </c>
      <c r="D17" s="90" t="n">
        <v>10</v>
      </c>
      <c r="E17" s="49"/>
      <c r="F17" s="53" t="n">
        <f aca="false">IF(C17="","",IF(N(E17)=0,C17*N(D17),E17))</f>
        <v>6000</v>
      </c>
      <c r="G17" s="53" t="n">
        <f aca="false">IF(F17="","",F17*$C$7)</f>
        <v>600</v>
      </c>
      <c r="H17" s="53" t="n">
        <f aca="false">$C$8</f>
        <v>0</v>
      </c>
      <c r="I17" s="53" t="n">
        <f aca="false">IF(F17="","",G17-C17-N(H17))</f>
        <v>0</v>
      </c>
      <c r="J17" s="53" t="n">
        <f aca="false">IF(I17="","",IF(I17&lt;0,"",C17+I17))</f>
        <v>600</v>
      </c>
      <c r="K17" s="91" t="str">
        <f aca="false">IF(I17="","HOLD — no budget available",IF(I17&lt;0,"STOP — automatic reinvestment halted",IF(I17=0,"HOLD — principal preserved, no profit to reinvest","REINVEST — release verified profit")))</f>
        <v>HOLD — principal preserved, no profit to reinvest</v>
      </c>
    </row>
    <row r="18" customFormat="false" ht="24" hidden="false" customHeight="true" outlineLevel="0" collapsed="false">
      <c r="B18" s="23" t="s">
        <v>129</v>
      </c>
      <c r="C18" s="53" t="n">
        <f aca="false">IF(J17="","",J17)</f>
        <v>600</v>
      </c>
      <c r="D18" s="90" t="n">
        <v>10</v>
      </c>
      <c r="E18" s="49"/>
      <c r="F18" s="53" t="n">
        <f aca="false">IF(C18="","",IF(N(E18)=0,C18*N(D18),E18))</f>
        <v>6000</v>
      </c>
      <c r="G18" s="53" t="n">
        <f aca="false">IF(F18="","",F18*$C$7)</f>
        <v>600</v>
      </c>
      <c r="H18" s="53" t="n">
        <f aca="false">$C$8</f>
        <v>0</v>
      </c>
      <c r="I18" s="53" t="n">
        <f aca="false">IF(F18="","",G18-C18-N(H18))</f>
        <v>0</v>
      </c>
      <c r="J18" s="53" t="n">
        <f aca="false">IF(I18="","",IF(I18&lt;0,"",C18+I18))</f>
        <v>600</v>
      </c>
      <c r="K18" s="91" t="str">
        <f aca="false">IF(I18="","HOLD — no budget available",IF(I18&lt;0,"STOP — automatic reinvestment halted",IF(I18=0,"HOLD — principal preserved, no profit to reinvest","REINVEST — release verified profit")))</f>
        <v>HOLD — principal preserved, no profit to reinvest</v>
      </c>
    </row>
    <row r="19" customFormat="false" ht="24" hidden="false" customHeight="true" outlineLevel="0" collapsed="false">
      <c r="B19" s="23" t="s">
        <v>130</v>
      </c>
      <c r="C19" s="53" t="n">
        <f aca="false">IF(J18="","",J18)</f>
        <v>600</v>
      </c>
      <c r="D19" s="90" t="n">
        <v>10</v>
      </c>
      <c r="E19" s="49"/>
      <c r="F19" s="53" t="n">
        <f aca="false">IF(C19="","",IF(N(E19)=0,C19*N(D19),E19))</f>
        <v>6000</v>
      </c>
      <c r="G19" s="53" t="n">
        <f aca="false">IF(F19="","",F19*$C$7)</f>
        <v>600</v>
      </c>
      <c r="H19" s="53" t="n">
        <f aca="false">$C$8</f>
        <v>0</v>
      </c>
      <c r="I19" s="53" t="n">
        <f aca="false">IF(F19="","",G19-C19-N(H19))</f>
        <v>0</v>
      </c>
      <c r="J19" s="53" t="n">
        <f aca="false">IF(I19="","",IF(I19&lt;0,"",C19+I19))</f>
        <v>600</v>
      </c>
      <c r="K19" s="91" t="str">
        <f aca="false">IF(I19="","HOLD — no budget available",IF(I19&lt;0,"STOP — automatic reinvestment halted",IF(I19=0,"HOLD — principal preserved, no profit to reinvest","REINVEST — release verified profit")))</f>
        <v>HOLD — principal preserved, no profit to reinvest</v>
      </c>
    </row>
    <row r="20" customFormat="false" ht="15" hidden="false" customHeight="false" outlineLevel="0" collapsed="false">
      <c r="B20" s="92" t="s">
        <v>131</v>
      </c>
      <c r="C20" s="93" t="n">
        <f aca="false">SUM(C14:C19)</f>
        <v>3600</v>
      </c>
      <c r="D20" s="94"/>
      <c r="E20" s="94"/>
      <c r="F20" s="93" t="n">
        <f aca="false">SUM(F14:F19)</f>
        <v>36000</v>
      </c>
      <c r="G20" s="93" t="n">
        <f aca="false">SUM(G14:G19)</f>
        <v>3600</v>
      </c>
      <c r="H20" s="93" t="n">
        <f aca="false">SUM(H14:H19)</f>
        <v>0</v>
      </c>
      <c r="I20" s="93" t="n">
        <f aca="false">SUM(I14:I19)</f>
        <v>0</v>
      </c>
      <c r="J20" s="94"/>
      <c r="K20" s="94"/>
    </row>
    <row r="21" customFormat="false" ht="19.5" hidden="false" customHeight="true" outlineLevel="0" collapsed="false">
      <c r="B21" s="95" t="s">
        <v>132</v>
      </c>
      <c r="C21" s="96" t="n">
        <f aca="false">IF(J19="","N/A",J19)</f>
        <v>600</v>
      </c>
      <c r="D21" s="84" t="s">
        <v>133</v>
      </c>
    </row>
    <row r="24" customFormat="false" ht="18" hidden="false" customHeight="true" outlineLevel="0" collapsed="false">
      <c r="B24" s="66" t="s">
        <v>134</v>
      </c>
      <c r="C24" s="66"/>
      <c r="D24" s="66"/>
      <c r="E24" s="66"/>
      <c r="F24" s="66"/>
      <c r="G24" s="66"/>
      <c r="H24" s="66"/>
      <c r="I24" s="66"/>
      <c r="J24" s="66"/>
      <c r="K24" s="66"/>
    </row>
    <row r="25" customFormat="false" ht="15" hidden="false" customHeight="true" outlineLevel="0" collapsed="false">
      <c r="B25" s="30" t="s">
        <v>135</v>
      </c>
      <c r="C25" s="30"/>
      <c r="D25" s="30"/>
      <c r="E25" s="30"/>
      <c r="F25" s="30"/>
      <c r="G25" s="30"/>
      <c r="H25" s="30"/>
      <c r="I25" s="30"/>
      <c r="J25" s="30"/>
      <c r="K25" s="30"/>
    </row>
    <row r="26" customFormat="false" ht="15" hidden="false" customHeight="false" outlineLevel="0" collapsed="false">
      <c r="B26" s="10" t="s">
        <v>136</v>
      </c>
      <c r="C26" s="10" t="s">
        <v>137</v>
      </c>
      <c r="D26" s="10" t="s">
        <v>138</v>
      </c>
      <c r="E26" s="10" t="s">
        <v>139</v>
      </c>
    </row>
    <row r="27" customFormat="false" ht="15" hidden="false" customHeight="false" outlineLevel="0" collapsed="false">
      <c r="B27" s="97" t="s">
        <v>140</v>
      </c>
      <c r="C27" s="98" t="n">
        <v>8</v>
      </c>
      <c r="D27" s="98" t="n">
        <v>10</v>
      </c>
      <c r="E27" s="98" t="n">
        <v>12</v>
      </c>
    </row>
    <row r="28" customFormat="false" ht="15" hidden="false" customHeight="false" outlineLevel="0" collapsed="false">
      <c r="B28" s="99" t="s">
        <v>141</v>
      </c>
      <c r="C28" s="53" t="n">
        <f aca="false">$C$6</f>
        <v>600</v>
      </c>
      <c r="D28" s="53" t="n">
        <f aca="false">$C$6</f>
        <v>600</v>
      </c>
      <c r="E28" s="53" t="n">
        <f aca="false">$C$6</f>
        <v>600</v>
      </c>
    </row>
    <row r="29" customFormat="false" ht="15" hidden="false" customHeight="false" outlineLevel="0" collapsed="false">
      <c r="B29" s="99" t="s">
        <v>142</v>
      </c>
      <c r="C29" s="53" t="str">
        <f aca="false">IF(ISNUMBER(C28),IF(C28*C$27*$C$7-C28&lt;0,"STOP",C28+(C28*C$27*$C$7-C28)),"STOP")</f>
        <v>STOP</v>
      </c>
      <c r="D29" s="53" t="n">
        <f aca="false">IF(ISNUMBER(D28),IF(D28*D$27*$C$7-D28&lt;0,"STOP",D28+(D28*D$27*$C$7-D28)),"STOP")</f>
        <v>600</v>
      </c>
      <c r="E29" s="53" t="n">
        <f aca="false">IF(ISNUMBER(E28),IF(E28*E$27*$C$7-E28&lt;0,"STOP",E28+(E28*E$27*$C$7-E28)),"STOP")</f>
        <v>720</v>
      </c>
    </row>
    <row r="30" customFormat="false" ht="15" hidden="false" customHeight="false" outlineLevel="0" collapsed="false">
      <c r="B30" s="99" t="s">
        <v>143</v>
      </c>
      <c r="C30" s="53" t="str">
        <f aca="false">IF(ISNUMBER(C29),IF(C29*C$27*$C$7-C29&lt;0,"STOP",C29+(C29*C$27*$C$7-C29)),"STOP")</f>
        <v>STOP</v>
      </c>
      <c r="D30" s="53" t="n">
        <f aca="false">IF(ISNUMBER(D29),IF(D29*D$27*$C$7-D29&lt;0,"STOP",D29+(D29*D$27*$C$7-D29)),"STOP")</f>
        <v>600</v>
      </c>
      <c r="E30" s="53" t="n">
        <f aca="false">IF(ISNUMBER(E29),IF(E29*E$27*$C$7-E29&lt;0,"STOP",E29+(E29*E$27*$C$7-E29)),"STOP")</f>
        <v>864</v>
      </c>
    </row>
    <row r="31" customFormat="false" ht="15" hidden="false" customHeight="false" outlineLevel="0" collapsed="false">
      <c r="B31" s="99" t="s">
        <v>144</v>
      </c>
      <c r="C31" s="53" t="str">
        <f aca="false">IF(ISNUMBER(C30),IF(C30*C$27*$C$7-C30&lt;0,"STOP",C30+(C30*C$27*$C$7-C30)),"STOP")</f>
        <v>STOP</v>
      </c>
      <c r="D31" s="53" t="n">
        <f aca="false">IF(ISNUMBER(D30),IF(D30*D$27*$C$7-D30&lt;0,"STOP",D30+(D30*D$27*$C$7-D30)),"STOP")</f>
        <v>600</v>
      </c>
      <c r="E31" s="53" t="n">
        <f aca="false">IF(ISNUMBER(E30),IF(E30*E$27*$C$7-E30&lt;0,"STOP",E30+(E30*E$27*$C$7-E30)),"STOP")</f>
        <v>1036.8</v>
      </c>
    </row>
    <row r="32" customFormat="false" ht="15" hidden="false" customHeight="false" outlineLevel="0" collapsed="false">
      <c r="B32" s="99" t="s">
        <v>145</v>
      </c>
      <c r="C32" s="53" t="str">
        <f aca="false">IF(ISNUMBER(C31),IF(C31*C$27*$C$7-C31&lt;0,"STOP",C31+(C31*C$27*$C$7-C31)),"STOP")</f>
        <v>STOP</v>
      </c>
      <c r="D32" s="53" t="n">
        <f aca="false">IF(ISNUMBER(D31),IF(D31*D$27*$C$7-D31&lt;0,"STOP",D31+(D31*D$27*$C$7-D31)),"STOP")</f>
        <v>600</v>
      </c>
      <c r="E32" s="53" t="n">
        <f aca="false">IF(ISNUMBER(E31),IF(E31*E$27*$C$7-E31&lt;0,"STOP",E31+(E31*E$27*$C$7-E31)),"STOP")</f>
        <v>1244.16</v>
      </c>
    </row>
    <row r="33" customFormat="false" ht="15" hidden="false" customHeight="false" outlineLevel="0" collapsed="false">
      <c r="B33" s="99" t="s">
        <v>146</v>
      </c>
      <c r="C33" s="53" t="str">
        <f aca="false">IF(ISNUMBER(C32),IF(C32*C$27*$C$7-C32&lt;0,"STOP",C32+(C32*C$27*$C$7-C32)),"STOP")</f>
        <v>STOP</v>
      </c>
      <c r="D33" s="53" t="n">
        <f aca="false">IF(ISNUMBER(D32),IF(D32*D$27*$C$7-D32&lt;0,"STOP",D32+(D32*D$27*$C$7-D32)),"STOP")</f>
        <v>600</v>
      </c>
      <c r="E33" s="53" t="n">
        <f aca="false">IF(ISNUMBER(E32),IF(E32*E$27*$C$7-E32&lt;0,"STOP",E32+(E32*E$27*$C$7-E32)),"STOP")</f>
        <v>1492.992</v>
      </c>
    </row>
    <row r="34" customFormat="false" ht="19.5" hidden="false" customHeight="true" outlineLevel="0" collapsed="false">
      <c r="B34" s="100" t="s">
        <v>147</v>
      </c>
      <c r="C34" s="93" t="str">
        <f aca="false">IF(ISNUMBER(C33),IF(C33*C$27*$C$7-C33&lt;0,"STOP",C33+(C33*C$27*$C$7-C33)),"STOP")</f>
        <v>STOP</v>
      </c>
      <c r="D34" s="93" t="n">
        <f aca="false">IF(ISNUMBER(D33),IF(D33*D$27*$C$7-D33&lt;0,"STOP",D33+(D33*D$27*$C$7-D33)),"STOP")</f>
        <v>600</v>
      </c>
      <c r="E34" s="93" t="n">
        <f aca="false">IF(ISNUMBER(E33),IF(E33*E$27*$C$7-E33&lt;0,"STOP",E33+(E33*E$27*$C$7-E33)),"STOP")</f>
        <v>1791.5904</v>
      </c>
    </row>
    <row r="36" customFormat="false" ht="15" hidden="false" customHeight="true" outlineLevel="0" collapsed="false">
      <c r="B36" s="4" t="s">
        <v>148</v>
      </c>
      <c r="C36" s="4"/>
      <c r="D36" s="4"/>
      <c r="E36" s="4"/>
      <c r="F36" s="4"/>
      <c r="G36" s="4"/>
      <c r="H36" s="4"/>
      <c r="I36" s="4"/>
      <c r="J36" s="4"/>
      <c r="K36" s="4"/>
    </row>
  </sheetData>
  <mergeCells count="7">
    <mergeCell ref="B4:K4"/>
    <mergeCell ref="B5:K5"/>
    <mergeCell ref="B10:K10"/>
    <mergeCell ref="B12:K12"/>
    <mergeCell ref="B24:K24"/>
    <mergeCell ref="B25:K25"/>
    <mergeCell ref="B36:K36"/>
  </mergeCells>
  <conditionalFormatting sqref="K14:K19">
    <cfRule type="expression" priority="2" aboveAverage="0" equalAverage="0" bottom="0" percent="0" rank="0" text="" dxfId="3">
      <formula>ISNUMBER(SEARCH("STOP",K14))</formula>
    </cfRule>
    <cfRule type="expression" priority="3" aboveAverage="0" equalAverage="0" bottom="0" percent="0" rank="0" text="" dxfId="0">
      <formula>ISNUMBER(SEARCH("REINVEST",K14))</formula>
    </cfRule>
    <cfRule type="expression" priority="4" aboveAverage="0" equalAverage="0" bottom="0" percent="0" rank="0" text="" dxfId="2">
      <formula>ISNUMBER(SEARCH("HOLD",K14))</formula>
    </cfRule>
  </conditionalFormatting>
  <conditionalFormatting sqref="I14:I19">
    <cfRule type="cellIs" priority="5" operator="lessThan" aboveAverage="0" equalAverage="0" bottom="0" percent="0" rank="0" text="" dxfId="3">
      <formula>0</formula>
    </cfRule>
    <cfRule type="cellIs" priority="6" operator="greaterThan" aboveAverage="0" equalAverage="0" bottom="0" percent="0" rank="0" text="" dxfId="0">
      <formula>0</formula>
    </cfRule>
  </conditionalFormatting>
  <conditionalFormatting sqref="C28:E34">
    <cfRule type="cellIs" priority="7" operator="equal" aboveAverage="0" equalAverage="0" bottom="0" percent="0" rank="0" text="" dxfId="3">
      <formula>"STOP"</formula>
    </cfRule>
  </conditionalFormatting>
  <dataValidations count="1">
    <dataValidation allowBlank="true" error="Enter ROAS as a multiple between 0 and 100 (for example 10 for 10.0x)." errorStyle="stop" errorTitle="Invalid ROAS" operator="between" showDropDown="false" showErrorMessage="false" showInputMessage="false" sqref="D14:D19 C27:E27" type="decimal">
      <formula1>0</formula1>
      <formula2>100</formula2>
    </dataValidation>
  </dataValidations>
  <printOptions headings="false" gridLines="false" gridLinesSet="true" horizontalCentered="false" verticalCentered="false"/>
  <pageMargins left="0.35" right="0.35" top="0.4" bottom="0.5" header="0.511811023622047" footer="0.5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Six-Month Reinvestment · 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88"/>
  </cols>
  <sheetData>
    <row r="2" customFormat="false" ht="19.7" hidden="false" customHeight="false" outlineLevel="0" collapsed="false">
      <c r="B2" s="31" t="s">
        <v>149</v>
      </c>
    </row>
    <row r="3" customFormat="false" ht="15" hidden="false" customHeight="false" outlineLevel="0" collapsed="false">
      <c r="B3" s="2" t="s">
        <v>150</v>
      </c>
    </row>
    <row r="5" customFormat="false" ht="19.5" hidden="false" customHeight="true" outlineLevel="0" collapsed="false">
      <c r="B5" s="55" t="s">
        <v>151</v>
      </c>
      <c r="C5" s="55"/>
    </row>
    <row r="6" customFormat="false" ht="23.85" hidden="false" customHeight="false" outlineLevel="0" collapsed="false">
      <c r="B6" s="101" t="s">
        <v>152</v>
      </c>
      <c r="C6" s="102" t="s">
        <v>153</v>
      </c>
    </row>
    <row r="7" customFormat="false" ht="15" hidden="false" customHeight="false" outlineLevel="0" collapsed="false">
      <c r="B7" s="101" t="s">
        <v>22</v>
      </c>
      <c r="C7" s="102" t="s">
        <v>154</v>
      </c>
    </row>
    <row r="8" customFormat="false" ht="23.85" hidden="false" customHeight="false" outlineLevel="0" collapsed="false">
      <c r="B8" s="101" t="s">
        <v>155</v>
      </c>
      <c r="C8" s="102" t="s">
        <v>156</v>
      </c>
    </row>
    <row r="9" customFormat="false" ht="23.85" hidden="false" customHeight="false" outlineLevel="0" collapsed="false">
      <c r="B9" s="101" t="s">
        <v>157</v>
      </c>
      <c r="C9" s="102" t="s">
        <v>158</v>
      </c>
    </row>
    <row r="10" customFormat="false" ht="15" hidden="false" customHeight="false" outlineLevel="0" collapsed="false">
      <c r="B10" s="101" t="s">
        <v>159</v>
      </c>
      <c r="C10" s="102" t="s">
        <v>160</v>
      </c>
    </row>
    <row r="11" customFormat="false" ht="15" hidden="false" customHeight="false" outlineLevel="0" collapsed="false">
      <c r="B11" s="101" t="s">
        <v>161</v>
      </c>
      <c r="C11" s="102" t="s">
        <v>162</v>
      </c>
    </row>
    <row r="12" customFormat="false" ht="23.85" hidden="false" customHeight="false" outlineLevel="0" collapsed="false">
      <c r="B12" s="101" t="s">
        <v>163</v>
      </c>
      <c r="C12" s="102" t="s">
        <v>164</v>
      </c>
    </row>
    <row r="13" customFormat="false" ht="23.85" hidden="false" customHeight="false" outlineLevel="0" collapsed="false">
      <c r="B13" s="101" t="s">
        <v>165</v>
      </c>
      <c r="C13" s="102" t="s">
        <v>166</v>
      </c>
    </row>
    <row r="14" customFormat="false" ht="15" hidden="false" customHeight="false" outlineLevel="0" collapsed="false">
      <c r="B14" s="101" t="s">
        <v>167</v>
      </c>
      <c r="C14" s="102" t="s">
        <v>168</v>
      </c>
    </row>
    <row r="15" customFormat="false" ht="23.85" hidden="false" customHeight="false" outlineLevel="0" collapsed="false">
      <c r="B15" s="101" t="s">
        <v>169</v>
      </c>
      <c r="C15" s="102" t="s">
        <v>170</v>
      </c>
    </row>
    <row r="16" customFormat="false" ht="19.5" hidden="false" customHeight="true" outlineLevel="0" collapsed="false">
      <c r="B16" s="55" t="s">
        <v>171</v>
      </c>
      <c r="C16" s="55"/>
    </row>
    <row r="17" customFormat="false" ht="15" hidden="false" customHeight="false" outlineLevel="0" collapsed="false">
      <c r="B17" s="101" t="s">
        <v>172</v>
      </c>
      <c r="C17" s="102" t="s">
        <v>173</v>
      </c>
    </row>
    <row r="18" customFormat="false" ht="15" hidden="false" customHeight="false" outlineLevel="0" collapsed="false">
      <c r="B18" s="101" t="s">
        <v>174</v>
      </c>
      <c r="C18" s="102" t="s">
        <v>175</v>
      </c>
    </row>
    <row r="19" customFormat="false" ht="15" hidden="false" customHeight="false" outlineLevel="0" collapsed="false">
      <c r="B19" s="101" t="s">
        <v>176</v>
      </c>
      <c r="C19" s="102" t="s">
        <v>177</v>
      </c>
    </row>
    <row r="20" customFormat="false" ht="23.85" hidden="false" customHeight="false" outlineLevel="0" collapsed="false">
      <c r="B20" s="101" t="s">
        <v>178</v>
      </c>
      <c r="C20" s="102" t="s">
        <v>179</v>
      </c>
    </row>
    <row r="21" customFormat="false" ht="19.5" hidden="false" customHeight="true" outlineLevel="0" collapsed="false">
      <c r="B21" s="55" t="s">
        <v>180</v>
      </c>
      <c r="C21" s="55"/>
    </row>
    <row r="22" customFormat="false" ht="15" hidden="false" customHeight="false" outlineLevel="0" collapsed="false">
      <c r="B22" s="101" t="s">
        <v>181</v>
      </c>
      <c r="C22" s="102" t="s">
        <v>182</v>
      </c>
    </row>
    <row r="23" customFormat="false" ht="15" hidden="false" customHeight="false" outlineLevel="0" collapsed="false">
      <c r="B23" s="101" t="s">
        <v>183</v>
      </c>
      <c r="C23" s="102" t="s">
        <v>184</v>
      </c>
    </row>
    <row r="24" customFormat="false" ht="15" hidden="false" customHeight="false" outlineLevel="0" collapsed="false">
      <c r="B24" s="101" t="s">
        <v>185</v>
      </c>
      <c r="C24" s="102" t="s">
        <v>186</v>
      </c>
    </row>
    <row r="25" customFormat="false" ht="15" hidden="false" customHeight="false" outlineLevel="0" collapsed="false">
      <c r="B25" s="101" t="s">
        <v>187</v>
      </c>
      <c r="C25" s="102" t="s">
        <v>188</v>
      </c>
    </row>
    <row r="26" customFormat="false" ht="15" hidden="false" customHeight="false" outlineLevel="0" collapsed="false">
      <c r="B26" s="101" t="s">
        <v>189</v>
      </c>
      <c r="C26" s="102" t="s">
        <v>190</v>
      </c>
    </row>
    <row r="27" customFormat="false" ht="15" hidden="false" customHeight="false" outlineLevel="0" collapsed="false">
      <c r="B27" s="101" t="s">
        <v>191</v>
      </c>
      <c r="C27" s="102" t="s">
        <v>192</v>
      </c>
    </row>
    <row r="28" customFormat="false" ht="19.5" hidden="false" customHeight="true" outlineLevel="0" collapsed="false">
      <c r="B28" s="55" t="s">
        <v>193</v>
      </c>
      <c r="C28" s="55"/>
    </row>
    <row r="29" customFormat="false" ht="15" hidden="false" customHeight="false" outlineLevel="0" collapsed="false">
      <c r="B29" s="101" t="s">
        <v>194</v>
      </c>
      <c r="C29" s="102" t="s">
        <v>195</v>
      </c>
    </row>
    <row r="30" customFormat="false" ht="35.05" hidden="false" customHeight="false" outlineLevel="0" collapsed="false">
      <c r="B30" s="101" t="s">
        <v>196</v>
      </c>
      <c r="C30" s="102" t="s">
        <v>197</v>
      </c>
    </row>
    <row r="31" customFormat="false" ht="15" hidden="false" customHeight="false" outlineLevel="0" collapsed="false">
      <c r="B31" s="101" t="s">
        <v>198</v>
      </c>
      <c r="C31" s="102" t="s">
        <v>199</v>
      </c>
    </row>
    <row r="32" customFormat="false" ht="15" hidden="false" customHeight="false" outlineLevel="0" collapsed="false">
      <c r="B32" s="101" t="s">
        <v>200</v>
      </c>
      <c r="C32" s="102" t="s">
        <v>201</v>
      </c>
    </row>
    <row r="33" customFormat="false" ht="15" hidden="false" customHeight="false" outlineLevel="0" collapsed="false">
      <c r="B33" s="101" t="s">
        <v>202</v>
      </c>
      <c r="C33" s="102" t="s">
        <v>203</v>
      </c>
    </row>
    <row r="34" customFormat="false" ht="19.5" hidden="false" customHeight="true" outlineLevel="0" collapsed="false">
      <c r="B34" s="55" t="s">
        <v>204</v>
      </c>
      <c r="C34" s="55"/>
    </row>
    <row r="35" customFormat="false" ht="15" hidden="false" customHeight="false" outlineLevel="0" collapsed="false">
      <c r="B35" s="101" t="s">
        <v>205</v>
      </c>
      <c r="C35" s="102" t="s">
        <v>206</v>
      </c>
    </row>
    <row r="36" customFormat="false" ht="15" hidden="false" customHeight="false" outlineLevel="0" collapsed="false">
      <c r="B36" s="101" t="s">
        <v>207</v>
      </c>
      <c r="C36" s="102" t="s">
        <v>208</v>
      </c>
    </row>
    <row r="37" customFormat="false" ht="15" hidden="false" customHeight="false" outlineLevel="0" collapsed="false">
      <c r="B37" s="101" t="s">
        <v>209</v>
      </c>
      <c r="C37" s="102" t="s">
        <v>210</v>
      </c>
    </row>
    <row r="38" customFormat="false" ht="15" hidden="false" customHeight="false" outlineLevel="0" collapsed="false">
      <c r="B38" s="101" t="s">
        <v>211</v>
      </c>
      <c r="C38" s="102" t="s">
        <v>212</v>
      </c>
    </row>
    <row r="39" customFormat="false" ht="19.5" hidden="false" customHeight="true" outlineLevel="0" collapsed="false">
      <c r="B39" s="55" t="s">
        <v>213</v>
      </c>
      <c r="C39" s="55"/>
    </row>
    <row r="40" customFormat="false" ht="15" hidden="false" customHeight="false" outlineLevel="0" collapsed="false">
      <c r="B40" s="101" t="s">
        <v>214</v>
      </c>
      <c r="C40" s="102" t="s">
        <v>215</v>
      </c>
    </row>
    <row r="41" customFormat="false" ht="15" hidden="false" customHeight="false" outlineLevel="0" collapsed="false">
      <c r="B41" s="101" t="s">
        <v>216</v>
      </c>
      <c r="C41" s="102" t="s">
        <v>217</v>
      </c>
    </row>
    <row r="42" customFormat="false" ht="15" hidden="false" customHeight="false" outlineLevel="0" collapsed="false">
      <c r="B42" s="101" t="s">
        <v>218</v>
      </c>
      <c r="C42" s="102" t="s">
        <v>219</v>
      </c>
    </row>
    <row r="43" customFormat="false" ht="23.85" hidden="false" customHeight="false" outlineLevel="0" collapsed="false">
      <c r="B43" s="101" t="s">
        <v>220</v>
      </c>
      <c r="C43" s="102" t="s">
        <v>221</v>
      </c>
    </row>
    <row r="44" customFormat="false" ht="15" hidden="false" customHeight="false" outlineLevel="0" collapsed="false">
      <c r="B44" s="101" t="s">
        <v>222</v>
      </c>
      <c r="C44" s="102" t="s">
        <v>223</v>
      </c>
    </row>
    <row r="45" customFormat="false" ht="19.5" hidden="false" customHeight="true" outlineLevel="0" collapsed="false">
      <c r="B45" s="55" t="s">
        <v>224</v>
      </c>
      <c r="C45" s="55"/>
    </row>
    <row r="46" customFormat="false" ht="15" hidden="false" customHeight="false" outlineLevel="0" collapsed="false">
      <c r="B46" s="101" t="s">
        <v>225</v>
      </c>
      <c r="C46" s="102" t="s">
        <v>226</v>
      </c>
    </row>
    <row r="47" customFormat="false" ht="23.85" hidden="false" customHeight="false" outlineLevel="0" collapsed="false">
      <c r="B47" s="101" t="s">
        <v>227</v>
      </c>
      <c r="C47" s="102" t="s">
        <v>228</v>
      </c>
    </row>
    <row r="48" customFormat="false" ht="15" hidden="false" customHeight="false" outlineLevel="0" collapsed="false">
      <c r="B48" s="101" t="s">
        <v>229</v>
      </c>
      <c r="C48" s="102" t="s">
        <v>230</v>
      </c>
    </row>
    <row r="49" customFormat="false" ht="15" hidden="false" customHeight="false" outlineLevel="0" collapsed="false">
      <c r="B49" s="101" t="s">
        <v>231</v>
      </c>
      <c r="C49" s="102" t="s">
        <v>232</v>
      </c>
    </row>
    <row r="50" customFormat="false" ht="19.5" hidden="false" customHeight="true" outlineLevel="0" collapsed="false">
      <c r="B50" s="55" t="s">
        <v>233</v>
      </c>
      <c r="C50" s="55"/>
    </row>
    <row r="51" customFormat="false" ht="15" hidden="false" customHeight="false" outlineLevel="0" collapsed="false">
      <c r="B51" s="101" t="s">
        <v>234</v>
      </c>
      <c r="C51" s="102" t="s">
        <v>235</v>
      </c>
    </row>
    <row r="52" customFormat="false" ht="15" hidden="false" customHeight="false" outlineLevel="0" collapsed="false">
      <c r="B52" s="101" t="s">
        <v>236</v>
      </c>
      <c r="C52" s="102" t="s">
        <v>237</v>
      </c>
    </row>
    <row r="53" customFormat="false" ht="15" hidden="false" customHeight="false" outlineLevel="0" collapsed="false">
      <c r="B53" s="101" t="s">
        <v>238</v>
      </c>
      <c r="C53" s="102" t="s">
        <v>239</v>
      </c>
    </row>
    <row r="54" customFormat="false" ht="23.85" hidden="false" customHeight="false" outlineLevel="0" collapsed="false">
      <c r="B54" s="101" t="s">
        <v>240</v>
      </c>
      <c r="C54" s="102" t="s">
        <v>241</v>
      </c>
    </row>
    <row r="55" customFormat="false" ht="15" hidden="false" customHeight="false" outlineLevel="0" collapsed="false">
      <c r="B55" s="101" t="s">
        <v>242</v>
      </c>
      <c r="C55" s="102" t="s">
        <v>243</v>
      </c>
    </row>
    <row r="56" customFormat="false" ht="15" hidden="false" customHeight="false" outlineLevel="0" collapsed="false">
      <c r="B56" s="101" t="s">
        <v>244</v>
      </c>
      <c r="C56" s="102" t="s">
        <v>245</v>
      </c>
    </row>
    <row r="57" customFormat="false" ht="15" hidden="false" customHeight="false" outlineLevel="0" collapsed="false">
      <c r="B57" s="101" t="s">
        <v>246</v>
      </c>
      <c r="C57" s="102" t="s">
        <v>247</v>
      </c>
    </row>
    <row r="58" customFormat="false" ht="19.5" hidden="false" customHeight="true" outlineLevel="0" collapsed="false">
      <c r="B58" s="55" t="s">
        <v>248</v>
      </c>
      <c r="C58" s="55"/>
    </row>
    <row r="59" customFormat="false" ht="15" hidden="false" customHeight="false" outlineLevel="0" collapsed="false">
      <c r="B59" s="101" t="s">
        <v>249</v>
      </c>
      <c r="C59" s="102" t="s">
        <v>250</v>
      </c>
    </row>
    <row r="60" customFormat="false" ht="15" hidden="false" customHeight="false" outlineLevel="0" collapsed="false">
      <c r="B60" s="101" t="s">
        <v>251</v>
      </c>
      <c r="C60" s="102" t="s">
        <v>252</v>
      </c>
    </row>
    <row r="61" customFormat="false" ht="23.85" hidden="false" customHeight="false" outlineLevel="0" collapsed="false">
      <c r="B61" s="101" t="s">
        <v>253</v>
      </c>
      <c r="C61" s="102" t="s">
        <v>254</v>
      </c>
    </row>
    <row r="62" customFormat="false" ht="15" hidden="false" customHeight="false" outlineLevel="0" collapsed="false">
      <c r="B62" s="101" t="s">
        <v>255</v>
      </c>
      <c r="C62" s="102" t="s">
        <v>256</v>
      </c>
    </row>
    <row r="63" customFormat="false" ht="15" hidden="false" customHeight="false" outlineLevel="0" collapsed="false">
      <c r="B63" s="101" t="s">
        <v>257</v>
      </c>
      <c r="C63" s="102" t="s">
        <v>258</v>
      </c>
    </row>
    <row r="64" customFormat="false" ht="15" hidden="false" customHeight="false" outlineLevel="0" collapsed="false">
      <c r="B64" s="101" t="s">
        <v>259</v>
      </c>
      <c r="C64" s="102" t="s">
        <v>260</v>
      </c>
    </row>
    <row r="66" customFormat="false" ht="15" hidden="false" customHeight="false" outlineLevel="0" collapsed="false">
      <c r="B66" s="103" t="s">
        <v>261</v>
      </c>
      <c r="C66" s="103"/>
    </row>
    <row r="67" customFormat="false" ht="27.75" hidden="false" customHeight="true" outlineLevel="0" collapsed="false">
      <c r="B67" s="104" t="s">
        <v>262</v>
      </c>
      <c r="C67" s="105" t="s">
        <v>263</v>
      </c>
    </row>
    <row r="68" customFormat="false" ht="27.75" hidden="false" customHeight="true" outlineLevel="0" collapsed="false">
      <c r="B68" s="104" t="s">
        <v>264</v>
      </c>
      <c r="C68" s="105" t="s">
        <v>265</v>
      </c>
    </row>
    <row r="69" customFormat="false" ht="27.75" hidden="false" customHeight="true" outlineLevel="0" collapsed="false">
      <c r="B69" s="104" t="s">
        <v>266</v>
      </c>
      <c r="C69" s="105" t="s">
        <v>267</v>
      </c>
    </row>
    <row r="71" customFormat="false" ht="18" hidden="false" customHeight="true" outlineLevel="0" collapsed="false">
      <c r="B71" s="36" t="s">
        <v>268</v>
      </c>
      <c r="C71" s="36"/>
    </row>
    <row r="73" customFormat="false" ht="31.5" hidden="false" customHeight="true" outlineLevel="0" collapsed="false">
      <c r="B73" s="89" t="s">
        <v>269</v>
      </c>
      <c r="C73" s="89"/>
    </row>
  </sheetData>
  <mergeCells count="12">
    <mergeCell ref="B5:C5"/>
    <mergeCell ref="B16:C16"/>
    <mergeCell ref="B21:C21"/>
    <mergeCell ref="B28:C28"/>
    <mergeCell ref="B34:C34"/>
    <mergeCell ref="B39:C39"/>
    <mergeCell ref="B45:C45"/>
    <mergeCell ref="B50:C50"/>
    <mergeCell ref="B58:C58"/>
    <mergeCell ref="B66:C66"/>
    <mergeCell ref="B71:C71"/>
    <mergeCell ref="B73:C73"/>
  </mergeCells>
  <hyperlinks>
    <hyperlink ref="C67" r:id="rId1" display="https://developers.facebook.com/docs/meta-pixel/implementation/conversion-tracking/"/>
    <hyperlink ref="C68" r:id="rId2" display="https://www.facebook.com/business/help/1104266309729652"/>
    <hyperlink ref="C69" r:id="rId3" display="https://www.facebook.com/business/help/316478108955072"/>
  </hyperlinks>
  <printOptions headings="false" gridLines="false" gridLinesSet="true" horizontalCentered="true" verticalCentered="false"/>
  <pageMargins left="0.4" right="0.4" top="0.5" bottom="0.6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Definitions and Rules ·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2026-08-11T16:42:40Z</dcterms:created>
  <dc:creator>openpyxl</dc:creator>
  <dc:description/>
  <dc:language>en-US</dc:language>
  <cp:lastModifiedBy/>
  <dcterms:modified xsi:type="dcterms:W3CDTF">2026-08-11T16:42:41Z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